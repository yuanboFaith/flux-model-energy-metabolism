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oyuan/Desktop/Harvard/Research/db db mice/Infusion data/Flux analysis script/"/>
    </mc:Choice>
  </mc:AlternateContent>
  <xr:revisionPtr revIDLastSave="0" documentId="13_ncr:1_{DB49A7B4-4BE7-7349-88C0-CE138E2D460B}" xr6:coauthVersionLast="47" xr6:coauthVersionMax="47" xr10:uidLastSave="{00000000-0000-0000-0000-000000000000}"/>
  <bookViews>
    <workbookView xWindow="-5480" yWindow="-21100" windowWidth="38400" windowHeight="19560" xr2:uid="{00000000-000D-0000-FFFF-FFFF00000000}"/>
  </bookViews>
  <sheets>
    <sheet name="supplementary data" sheetId="1" r:id="rId1"/>
    <sheet name="NEFA in seru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3" i="1"/>
</calcChain>
</file>

<file path=xl/sharedStrings.xml><?xml version="1.0" encoding="utf-8"?>
<sst xmlns="http://schemas.openxmlformats.org/spreadsheetml/2006/main" count="200" uniqueCount="100">
  <si>
    <t>compound</t>
  </si>
  <si>
    <t>formula</t>
  </si>
  <si>
    <t>bt-H100</t>
  </si>
  <si>
    <t>bt-H101</t>
  </si>
  <si>
    <t>bt-H102</t>
  </si>
  <si>
    <t>bt-L130</t>
  </si>
  <si>
    <t>bt-L131</t>
  </si>
  <si>
    <t>bt-O100</t>
  </si>
  <si>
    <t>bt-O101</t>
  </si>
  <si>
    <t>bt-O102</t>
  </si>
  <si>
    <t>bu-H100</t>
  </si>
  <si>
    <t>bu-H101</t>
  </si>
  <si>
    <t>bu-H102</t>
  </si>
  <si>
    <t>bu-L130</t>
  </si>
  <si>
    <t>bu-L131</t>
  </si>
  <si>
    <t>bu-O100</t>
  </si>
  <si>
    <t>bu-O101</t>
  </si>
  <si>
    <t>bu-O102</t>
  </si>
  <si>
    <t>bw-H103</t>
  </si>
  <si>
    <t>bw-H104</t>
  </si>
  <si>
    <t>bw-H105</t>
  </si>
  <si>
    <t>bw-L132</t>
  </si>
  <si>
    <t>bw-L133</t>
  </si>
  <si>
    <t>bw-O103</t>
  </si>
  <si>
    <t>bw-O104</t>
  </si>
  <si>
    <t>bw-O105</t>
  </si>
  <si>
    <t>C14:0</t>
  </si>
  <si>
    <t>C14H28O2</t>
  </si>
  <si>
    <t>C14:1</t>
  </si>
  <si>
    <t>C14H26O2</t>
  </si>
  <si>
    <t>C14:2</t>
  </si>
  <si>
    <t>C14H24O2</t>
  </si>
  <si>
    <t>C16:0</t>
  </si>
  <si>
    <t>C16H32O2</t>
  </si>
  <si>
    <t>C16:1</t>
  </si>
  <si>
    <t>C16H30O2</t>
  </si>
  <si>
    <t>C16:2</t>
  </si>
  <si>
    <t>C16H28O2</t>
  </si>
  <si>
    <t>C17:0</t>
  </si>
  <si>
    <t>C17H34O2</t>
  </si>
  <si>
    <t>C17:1</t>
  </si>
  <si>
    <t>C17H32O2</t>
  </si>
  <si>
    <t>C18:0</t>
  </si>
  <si>
    <t>C18H36O2</t>
  </si>
  <si>
    <t>C18:1</t>
  </si>
  <si>
    <t>C18H34O2</t>
  </si>
  <si>
    <t>C18:2</t>
  </si>
  <si>
    <t>C18H32O2</t>
  </si>
  <si>
    <t>C18:3</t>
  </si>
  <si>
    <t>C18H30O2</t>
  </si>
  <si>
    <t>C18:4</t>
  </si>
  <si>
    <t>C18H28O2</t>
  </si>
  <si>
    <t>C19:0</t>
  </si>
  <si>
    <t>C19H38O2</t>
  </si>
  <si>
    <t>C19:1</t>
  </si>
  <si>
    <t>C19H36O2</t>
  </si>
  <si>
    <t>C20:0</t>
  </si>
  <si>
    <t>C20H40O2</t>
  </si>
  <si>
    <t>C20:1</t>
  </si>
  <si>
    <t>C20H38O2</t>
  </si>
  <si>
    <t>C20:2</t>
  </si>
  <si>
    <t>C20H36O2</t>
  </si>
  <si>
    <t>C20:3</t>
  </si>
  <si>
    <t>C20H34O2</t>
  </si>
  <si>
    <t>C20:4</t>
  </si>
  <si>
    <t>C20H32O2</t>
  </si>
  <si>
    <t>C20:5</t>
  </si>
  <si>
    <t>C20H30O2</t>
  </si>
  <si>
    <t>C22:4</t>
  </si>
  <si>
    <t>C22H36O2</t>
  </si>
  <si>
    <t>C22:5</t>
  </si>
  <si>
    <t>C22H34O2</t>
  </si>
  <si>
    <t>C22:6</t>
  </si>
  <si>
    <t>C22H32O2</t>
  </si>
  <si>
    <t>HFD_1</t>
  </si>
  <si>
    <t>HFD_2</t>
  </si>
  <si>
    <t>HFD_3</t>
  </si>
  <si>
    <t>HFD_4</t>
  </si>
  <si>
    <t>HFD_5</t>
  </si>
  <si>
    <t>HFD_6</t>
  </si>
  <si>
    <t>HFD_7</t>
  </si>
  <si>
    <t>HFD_8</t>
  </si>
  <si>
    <t>HFD_9</t>
  </si>
  <si>
    <t>WT_1</t>
  </si>
  <si>
    <t>WT_2</t>
  </si>
  <si>
    <t>WT_3</t>
  </si>
  <si>
    <t>WT_4</t>
  </si>
  <si>
    <t>WT_5</t>
  </si>
  <si>
    <t>WT_6</t>
  </si>
  <si>
    <t>ob/ob_1</t>
  </si>
  <si>
    <t>ob/ob_2</t>
  </si>
  <si>
    <t>ob/ob_3</t>
  </si>
  <si>
    <t>ob/ob_4</t>
  </si>
  <si>
    <t>ob/ob_5</t>
  </si>
  <si>
    <t>ob/ob_6</t>
  </si>
  <si>
    <t>ob/ob_7</t>
  </si>
  <si>
    <t>ob/ob_8</t>
  </si>
  <si>
    <t>ob/ob_9</t>
  </si>
  <si>
    <t>NEFA content in serum, MS signal intensity</t>
  </si>
  <si>
    <t>C_number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</si>
</sst>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1" fontId="0" fillId="0" borderId="0" xfId="0" applyNumberFormat="1"/>
    <xf numFmtId="0" fontId="19" fillId="0" borderId="0" xfId="0" applyFont="1"/>
    <xf numFmtId="0" fontId="20" fillId="0" borderId="0" xfId="0" applyFont="1"/>
    <xf numFmtId="0" fontId="0" fillId="33" borderId="0" xfId="0" applyFill="1"/>
    <xf numFmtId="1" fontId="0" fillId="33" borderId="0" xfId="0" applyNumberFormat="1" applyFill="1"/>
    <xf numFmtId="0" fontId="21" fillId="0" borderId="0" xfId="0" applyFont="1"/>
    <xf numFmtId="0" fontId="0" fillId="0" borderId="10" xfId="0" applyBorder="1"/>
    <xf numFmtId="0" fontId="19" fillId="0" borderId="10" xfId="0" applyFont="1" applyBorder="1"/>
    <xf numFmtId="1" fontId="0" fillId="0" borderId="10" xfId="0" applyNumberFormat="1" applyBorder="1"/>
    <xf numFmtId="1" fontId="0" fillId="33" borderId="10" xfId="0" applyNumberForma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0" xfId="0" applyFont="1" applyBorder="1" applyAlignment="1">
      <alignment horizontal="center"/>
    </xf>
    <xf numFmtId="0" fontId="20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10" xfId="0" applyNumberFormat="1" applyBorder="1" applyAlignment="1">
      <alignment horizontal="center"/>
    </xf>
    <xf numFmtId="0" fontId="0" fillId="33" borderId="0" xfId="0" applyFill="1" applyAlignment="1">
      <alignment horizontal="center"/>
    </xf>
    <xf numFmtId="11" fontId="0" fillId="33" borderId="0" xfId="0" applyNumberFormat="1" applyFill="1" applyAlignment="1">
      <alignment horizontal="center"/>
    </xf>
    <xf numFmtId="11" fontId="0" fillId="33" borderId="10" xfId="0" applyNumberForma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26"/>
  <sheetViews>
    <sheetView tabSelected="1" zoomScale="150" workbookViewId="0">
      <selection activeCell="G15" sqref="G15"/>
    </sheetView>
  </sheetViews>
  <sheetFormatPr baseColWidth="10" defaultColWidth="11.1640625" defaultRowHeight="16" x14ac:dyDescent="0.2"/>
  <cols>
    <col min="1" max="1" width="11" bestFit="1" customWidth="1"/>
    <col min="2" max="2" width="9.6640625" bestFit="1" customWidth="1"/>
    <col min="3" max="3" width="9.5" bestFit="1" customWidth="1"/>
    <col min="4" max="4" width="12.1640625" bestFit="1" customWidth="1"/>
    <col min="5" max="8" width="8.6640625" bestFit="1" customWidth="1"/>
    <col min="9" max="9" width="8.6640625" style="7" bestFit="1" customWidth="1"/>
    <col min="10" max="17" width="8.6640625" bestFit="1" customWidth="1"/>
    <col min="18" max="18" width="8.6640625" style="7" bestFit="1" customWidth="1"/>
    <col min="19" max="27" width="8.6640625" bestFit="1" customWidth="1"/>
  </cols>
  <sheetData>
    <row r="1" spans="1:27" x14ac:dyDescent="0.2">
      <c r="A1" s="11"/>
      <c r="B1" s="11"/>
      <c r="C1" s="11"/>
      <c r="D1" s="11" t="s">
        <v>5</v>
      </c>
      <c r="E1" s="11" t="s">
        <v>6</v>
      </c>
      <c r="F1" s="11" t="s">
        <v>13</v>
      </c>
      <c r="G1" s="11" t="s">
        <v>14</v>
      </c>
      <c r="H1" s="11" t="s">
        <v>21</v>
      </c>
      <c r="I1" s="13" t="s">
        <v>22</v>
      </c>
      <c r="J1" s="11" t="s">
        <v>2</v>
      </c>
      <c r="K1" s="11" t="s">
        <v>3</v>
      </c>
      <c r="L1" s="11" t="s">
        <v>4</v>
      </c>
      <c r="M1" s="11" t="s">
        <v>10</v>
      </c>
      <c r="N1" s="11" t="s">
        <v>11</v>
      </c>
      <c r="O1" s="11" t="s">
        <v>12</v>
      </c>
      <c r="P1" s="11" t="s">
        <v>18</v>
      </c>
      <c r="Q1" s="11" t="s">
        <v>19</v>
      </c>
      <c r="R1" s="13" t="s">
        <v>20</v>
      </c>
      <c r="S1" s="11" t="s">
        <v>7</v>
      </c>
      <c r="T1" s="11" t="s">
        <v>8</v>
      </c>
      <c r="U1" s="11" t="s">
        <v>9</v>
      </c>
      <c r="V1" s="11" t="s">
        <v>15</v>
      </c>
      <c r="W1" s="11" t="s">
        <v>16</v>
      </c>
      <c r="X1" s="11" t="s">
        <v>17</v>
      </c>
      <c r="Y1" s="11" t="s">
        <v>23</v>
      </c>
      <c r="Z1" s="11" t="s">
        <v>24</v>
      </c>
      <c r="AA1" s="11" t="s">
        <v>25</v>
      </c>
    </row>
    <row r="2" spans="1:27" x14ac:dyDescent="0.2">
      <c r="A2" s="12" t="s">
        <v>0</v>
      </c>
      <c r="B2" s="12" t="s">
        <v>1</v>
      </c>
      <c r="C2" s="12" t="s">
        <v>99</v>
      </c>
      <c r="D2" s="14" t="s">
        <v>83</v>
      </c>
      <c r="E2" s="14" t="s">
        <v>84</v>
      </c>
      <c r="F2" s="14" t="s">
        <v>85</v>
      </c>
      <c r="G2" s="14" t="s">
        <v>86</v>
      </c>
      <c r="H2" s="14" t="s">
        <v>87</v>
      </c>
      <c r="I2" s="15" t="s">
        <v>88</v>
      </c>
      <c r="J2" s="11" t="s">
        <v>74</v>
      </c>
      <c r="K2" s="11" t="s">
        <v>75</v>
      </c>
      <c r="L2" s="11" t="s">
        <v>76</v>
      </c>
      <c r="M2" s="11" t="s">
        <v>77</v>
      </c>
      <c r="N2" s="11" t="s">
        <v>78</v>
      </c>
      <c r="O2" s="11" t="s">
        <v>79</v>
      </c>
      <c r="P2" s="11" t="s">
        <v>80</v>
      </c>
      <c r="Q2" s="11" t="s">
        <v>81</v>
      </c>
      <c r="R2" s="13" t="s">
        <v>82</v>
      </c>
      <c r="S2" s="16" t="s">
        <v>89</v>
      </c>
      <c r="T2" s="16" t="s">
        <v>90</v>
      </c>
      <c r="U2" s="16" t="s">
        <v>91</v>
      </c>
      <c r="V2" s="16" t="s">
        <v>92</v>
      </c>
      <c r="W2" s="16" t="s">
        <v>93</v>
      </c>
      <c r="X2" s="16" t="s">
        <v>94</v>
      </c>
      <c r="Y2" s="16" t="s">
        <v>95</v>
      </c>
      <c r="Z2" s="16" t="s">
        <v>96</v>
      </c>
      <c r="AA2" s="16" t="s">
        <v>97</v>
      </c>
    </row>
    <row r="3" spans="1:27" x14ac:dyDescent="0.2">
      <c r="A3" s="11" t="s">
        <v>26</v>
      </c>
      <c r="B3" s="11" t="s">
        <v>27</v>
      </c>
      <c r="C3" s="11" t="str">
        <f>RIGHT(LEFT(B3, 3), 2)</f>
        <v>14</v>
      </c>
      <c r="D3" s="17">
        <v>39764022.872000001</v>
      </c>
      <c r="E3" s="17">
        <v>32325176.872000001</v>
      </c>
      <c r="F3" s="17">
        <v>41442710.872000001</v>
      </c>
      <c r="G3" s="17">
        <v>45329806.872000001</v>
      </c>
      <c r="H3" s="17">
        <v>38486806.872000001</v>
      </c>
      <c r="I3" s="18">
        <v>25919980.872000001</v>
      </c>
      <c r="J3" s="17">
        <v>18937864.872000001</v>
      </c>
      <c r="K3" s="17">
        <v>27780002.872000001</v>
      </c>
      <c r="L3" s="17">
        <v>25989384.872000001</v>
      </c>
      <c r="M3" s="17">
        <v>18117266.872000001</v>
      </c>
      <c r="N3" s="17">
        <v>19374810.872000001</v>
      </c>
      <c r="O3" s="17">
        <v>20894250.872000001</v>
      </c>
      <c r="P3" s="17">
        <v>15024866.872</v>
      </c>
      <c r="Q3" s="17">
        <v>18020992.872000001</v>
      </c>
      <c r="R3" s="18">
        <v>17893788.872000001</v>
      </c>
      <c r="S3" s="17">
        <v>39149682.872000001</v>
      </c>
      <c r="T3" s="17">
        <v>37380278.872000001</v>
      </c>
      <c r="U3" s="17">
        <v>35008642.872000001</v>
      </c>
      <c r="V3" s="17">
        <v>50450334.872000001</v>
      </c>
      <c r="W3" s="17">
        <v>37528878.872000001</v>
      </c>
      <c r="X3" s="17">
        <v>47405478.872000001</v>
      </c>
      <c r="Y3" s="17">
        <v>24782092.872000001</v>
      </c>
      <c r="Z3" s="17">
        <v>23076524.872000001</v>
      </c>
      <c r="AA3" s="17">
        <v>25500216.872000001</v>
      </c>
    </row>
    <row r="4" spans="1:27" x14ac:dyDescent="0.2">
      <c r="A4" s="11" t="s">
        <v>28</v>
      </c>
      <c r="B4" s="11" t="s">
        <v>29</v>
      </c>
      <c r="C4" s="11" t="str">
        <f t="shared" ref="C4:C26" si="0">RIGHT(LEFT(B4, 3), 2)</f>
        <v>14</v>
      </c>
      <c r="D4" s="17">
        <v>16552203.584000001</v>
      </c>
      <c r="E4" s="17">
        <v>17279737.583999999</v>
      </c>
      <c r="F4" s="17">
        <v>13391951.584000001</v>
      </c>
      <c r="G4" s="17">
        <v>16517418.584000001</v>
      </c>
      <c r="H4" s="17">
        <v>16309460.584000001</v>
      </c>
      <c r="I4" s="18">
        <v>12203674.584000001</v>
      </c>
      <c r="J4" s="17">
        <v>14888327.584000001</v>
      </c>
      <c r="K4" s="17">
        <v>25584841.583999999</v>
      </c>
      <c r="L4" s="17">
        <v>25137897.583999999</v>
      </c>
      <c r="M4" s="17">
        <v>9333355.5840000007</v>
      </c>
      <c r="N4" s="17">
        <v>13188168.584000001</v>
      </c>
      <c r="O4" s="17">
        <v>12652846.584000001</v>
      </c>
      <c r="P4" s="17">
        <v>12033187.584000001</v>
      </c>
      <c r="Q4" s="17">
        <v>26994213.583999999</v>
      </c>
      <c r="R4" s="18">
        <v>11881642.584000001</v>
      </c>
      <c r="S4" s="17">
        <v>17006349.583999999</v>
      </c>
      <c r="T4" s="17">
        <v>20742435.583999999</v>
      </c>
      <c r="U4" s="17">
        <v>18311103.583999999</v>
      </c>
      <c r="V4" s="17">
        <v>28235453.583999999</v>
      </c>
      <c r="W4" s="17">
        <v>19029191.583999999</v>
      </c>
      <c r="X4" s="17">
        <v>19745403.583999999</v>
      </c>
      <c r="Y4" s="17">
        <v>13347627.584000001</v>
      </c>
      <c r="Z4" s="17">
        <v>15898672.584000001</v>
      </c>
      <c r="AA4" s="17">
        <v>16763819.584000001</v>
      </c>
    </row>
    <row r="5" spans="1:27" x14ac:dyDescent="0.2">
      <c r="A5" s="11" t="s">
        <v>30</v>
      </c>
      <c r="B5" s="11" t="s">
        <v>31</v>
      </c>
      <c r="C5" s="11" t="str">
        <f t="shared" si="0"/>
        <v>14</v>
      </c>
      <c r="D5" s="17">
        <v>10740878.890000001</v>
      </c>
      <c r="E5" s="17">
        <v>11517948.890000001</v>
      </c>
      <c r="F5" s="17">
        <v>6628113.8899999997</v>
      </c>
      <c r="G5" s="17">
        <v>7973855.8899999997</v>
      </c>
      <c r="H5" s="17">
        <v>15154227.890000001</v>
      </c>
      <c r="I5" s="18">
        <v>7141639.8899999997</v>
      </c>
      <c r="J5" s="17">
        <v>8005654.3899999997</v>
      </c>
      <c r="K5" s="17">
        <v>8421409.8900000006</v>
      </c>
      <c r="L5" s="17">
        <v>7805905.3899999997</v>
      </c>
      <c r="M5" s="17">
        <v>6901861.3899999997</v>
      </c>
      <c r="N5" s="17">
        <v>5831892.3899999997</v>
      </c>
      <c r="O5" s="17">
        <v>6807701.3899999997</v>
      </c>
      <c r="P5" s="17">
        <v>4939948.8899999997</v>
      </c>
      <c r="Q5" s="17">
        <v>8881981.8900000006</v>
      </c>
      <c r="R5" s="18">
        <v>5248797.3899999997</v>
      </c>
      <c r="S5" s="17">
        <v>9385436.8900000006</v>
      </c>
      <c r="T5" s="17">
        <v>9064051.8900000006</v>
      </c>
      <c r="U5" s="17">
        <v>8967280.8900000006</v>
      </c>
      <c r="V5" s="17">
        <v>10623313.890000001</v>
      </c>
      <c r="W5" s="17">
        <v>7435852.3899999997</v>
      </c>
      <c r="X5" s="17">
        <v>8407929.8900000006</v>
      </c>
      <c r="Y5" s="17">
        <v>7575070.3899999997</v>
      </c>
      <c r="Z5" s="17">
        <v>7061699.8899999997</v>
      </c>
      <c r="AA5" s="17">
        <v>7004582.3899999997</v>
      </c>
    </row>
    <row r="6" spans="1:27" s="4" customFormat="1" x14ac:dyDescent="0.2">
      <c r="A6" s="19" t="s">
        <v>32</v>
      </c>
      <c r="B6" s="19" t="s">
        <v>33</v>
      </c>
      <c r="C6" s="11" t="str">
        <f t="shared" si="0"/>
        <v>16</v>
      </c>
      <c r="D6" s="20">
        <v>409964133.5</v>
      </c>
      <c r="E6" s="20">
        <v>395652645.5</v>
      </c>
      <c r="F6" s="20">
        <v>407913381.5</v>
      </c>
      <c r="G6" s="20">
        <v>378122277.5</v>
      </c>
      <c r="H6" s="20">
        <v>354986693.5</v>
      </c>
      <c r="I6" s="21">
        <v>271060581.5</v>
      </c>
      <c r="J6" s="20">
        <v>338216261.5</v>
      </c>
      <c r="K6" s="20">
        <v>519039205.5</v>
      </c>
      <c r="L6" s="20">
        <v>311063525.5</v>
      </c>
      <c r="M6" s="20">
        <v>266144165.5</v>
      </c>
      <c r="N6" s="20">
        <v>244972741.5</v>
      </c>
      <c r="O6" s="20">
        <v>257810533.5</v>
      </c>
      <c r="P6" s="20">
        <v>245879445.5</v>
      </c>
      <c r="Q6" s="20">
        <v>191005189.5</v>
      </c>
      <c r="R6" s="21">
        <v>233242069.5</v>
      </c>
      <c r="S6" s="20">
        <v>513485221.5</v>
      </c>
      <c r="T6" s="20">
        <v>592636421.5</v>
      </c>
      <c r="U6" s="20">
        <v>436918629.5</v>
      </c>
      <c r="V6" s="20">
        <v>470794405.5</v>
      </c>
      <c r="W6" s="20">
        <v>355501541.5</v>
      </c>
      <c r="X6" s="20">
        <v>472627653.5</v>
      </c>
      <c r="Y6" s="20">
        <v>295605605.5</v>
      </c>
      <c r="Z6" s="20">
        <v>318808933.5</v>
      </c>
      <c r="AA6" s="20">
        <v>311532229.5</v>
      </c>
    </row>
    <row r="7" spans="1:27" x14ac:dyDescent="0.2">
      <c r="A7" s="11" t="s">
        <v>34</v>
      </c>
      <c r="B7" s="11" t="s">
        <v>35</v>
      </c>
      <c r="C7" s="11" t="str">
        <f t="shared" si="0"/>
        <v>16</v>
      </c>
      <c r="D7" s="17">
        <v>204107227.822</v>
      </c>
      <c r="E7" s="17">
        <v>199640427.822</v>
      </c>
      <c r="F7" s="17">
        <v>197537451.822</v>
      </c>
      <c r="G7" s="17">
        <v>221636443.822</v>
      </c>
      <c r="H7" s="17">
        <v>132849691.822</v>
      </c>
      <c r="I7" s="18">
        <v>134085171.822</v>
      </c>
      <c r="J7" s="17">
        <v>122706499.822</v>
      </c>
      <c r="K7" s="17">
        <v>168119627.822</v>
      </c>
      <c r="L7" s="17">
        <v>129381563.822</v>
      </c>
      <c r="M7" s="17">
        <v>111012155.822</v>
      </c>
      <c r="N7" s="17">
        <v>105029395.822</v>
      </c>
      <c r="O7" s="17">
        <v>80523067.821999997</v>
      </c>
      <c r="P7" s="17">
        <v>81057163.821999997</v>
      </c>
      <c r="Q7" s="17">
        <v>121353251.822</v>
      </c>
      <c r="R7" s="18">
        <v>87567443.821999997</v>
      </c>
      <c r="S7" s="17">
        <v>343687387.82200003</v>
      </c>
      <c r="T7" s="17">
        <v>359066875.82200003</v>
      </c>
      <c r="U7" s="17">
        <v>309237787.82200003</v>
      </c>
      <c r="V7" s="17">
        <v>373217979.82200003</v>
      </c>
      <c r="W7" s="17">
        <v>277249819.82200003</v>
      </c>
      <c r="X7" s="17">
        <v>333886427.82200003</v>
      </c>
      <c r="Y7" s="17">
        <v>197464155.822</v>
      </c>
      <c r="Z7" s="17">
        <v>200206347.822</v>
      </c>
      <c r="AA7" s="17">
        <v>248161563.822</v>
      </c>
    </row>
    <row r="8" spans="1:27" x14ac:dyDescent="0.2">
      <c r="A8" s="11" t="s">
        <v>36</v>
      </c>
      <c r="B8" s="11" t="s">
        <v>37</v>
      </c>
      <c r="C8" s="11" t="str">
        <f t="shared" si="0"/>
        <v>16</v>
      </c>
      <c r="D8" s="17">
        <v>8494119</v>
      </c>
      <c r="E8" s="17">
        <v>8156626.5</v>
      </c>
      <c r="F8" s="17">
        <v>5722464</v>
      </c>
      <c r="G8" s="17">
        <v>6333784.5</v>
      </c>
      <c r="H8" s="17">
        <v>7033794</v>
      </c>
      <c r="I8" s="18">
        <v>5954754</v>
      </c>
      <c r="J8" s="17">
        <v>7246269.5</v>
      </c>
      <c r="K8" s="17">
        <v>9281520</v>
      </c>
      <c r="L8" s="17">
        <v>7377845.5</v>
      </c>
      <c r="M8" s="17">
        <v>4614005.5</v>
      </c>
      <c r="N8" s="17">
        <v>4516113.5</v>
      </c>
      <c r="O8" s="17">
        <v>4304116</v>
      </c>
      <c r="P8" s="17">
        <v>5281846</v>
      </c>
      <c r="Q8" s="17">
        <v>7628975.5</v>
      </c>
      <c r="R8" s="18">
        <v>5274179.5</v>
      </c>
      <c r="S8" s="17">
        <v>9434982</v>
      </c>
      <c r="T8" s="17">
        <v>10967410</v>
      </c>
      <c r="U8" s="17">
        <v>9294511</v>
      </c>
      <c r="V8" s="17">
        <v>9500152</v>
      </c>
      <c r="W8" s="17">
        <v>8158984</v>
      </c>
      <c r="X8" s="17">
        <v>9234182</v>
      </c>
      <c r="Y8" s="17">
        <v>6345404</v>
      </c>
      <c r="Z8" s="17">
        <v>6139566</v>
      </c>
      <c r="AA8" s="17">
        <v>6911818.5</v>
      </c>
    </row>
    <row r="9" spans="1:27" x14ac:dyDescent="0.2">
      <c r="A9" s="11" t="s">
        <v>38</v>
      </c>
      <c r="B9" s="11" t="s">
        <v>39</v>
      </c>
      <c r="C9" s="11" t="str">
        <f t="shared" si="0"/>
        <v>17</v>
      </c>
      <c r="D9" s="17">
        <v>8445142.8560000006</v>
      </c>
      <c r="E9" s="17">
        <v>6829496.3559999997</v>
      </c>
      <c r="F9" s="17">
        <v>4679463.3559999997</v>
      </c>
      <c r="G9" s="17">
        <v>5803223.3559999997</v>
      </c>
      <c r="H9" s="17">
        <v>6734924.3559999997</v>
      </c>
      <c r="I9" s="18">
        <v>4629938.3559999997</v>
      </c>
      <c r="J9" s="17">
        <v>5087384.3559999997</v>
      </c>
      <c r="K9" s="17">
        <v>6704383.3559999997</v>
      </c>
      <c r="L9" s="17">
        <v>4937324.3559999997</v>
      </c>
      <c r="M9" s="17">
        <v>3315725.1060000001</v>
      </c>
      <c r="N9" s="17">
        <v>2844889.8560000001</v>
      </c>
      <c r="O9" s="17">
        <v>3474649.1060000001</v>
      </c>
      <c r="P9" s="17">
        <v>3348378.1060000001</v>
      </c>
      <c r="Q9" s="17">
        <v>2763118.6060000001</v>
      </c>
      <c r="R9" s="18">
        <v>4174829.8560000001</v>
      </c>
      <c r="S9" s="17">
        <v>5689969.8559999997</v>
      </c>
      <c r="T9" s="17">
        <v>9357072.8560000006</v>
      </c>
      <c r="U9" s="17">
        <v>4107021.8560000001</v>
      </c>
      <c r="V9" s="17">
        <v>5523084.3559999997</v>
      </c>
      <c r="W9" s="17">
        <v>4688061.8559999997</v>
      </c>
      <c r="X9" s="17">
        <v>4430539.8559999997</v>
      </c>
      <c r="Y9" s="17">
        <v>4234230.8559999997</v>
      </c>
      <c r="Z9" s="17">
        <v>4162710.3560000001</v>
      </c>
      <c r="AA9" s="17">
        <v>3450861.6060000001</v>
      </c>
    </row>
    <row r="10" spans="1:27" x14ac:dyDescent="0.2">
      <c r="A10" s="11" t="s">
        <v>40</v>
      </c>
      <c r="B10" s="11" t="s">
        <v>41</v>
      </c>
      <c r="C10" s="11" t="str">
        <f t="shared" si="0"/>
        <v>17</v>
      </c>
      <c r="D10" s="17">
        <v>10365134.177999999</v>
      </c>
      <c r="E10" s="17">
        <v>8670302.1779999994</v>
      </c>
      <c r="F10" s="17">
        <v>7528159.1780000003</v>
      </c>
      <c r="G10" s="17">
        <v>7553210.6780000003</v>
      </c>
      <c r="H10" s="17">
        <v>7134887.1780000003</v>
      </c>
      <c r="I10" s="18">
        <v>6378228.6780000003</v>
      </c>
      <c r="J10" s="17">
        <v>6898841.6780000003</v>
      </c>
      <c r="K10" s="17">
        <v>8238039.6780000003</v>
      </c>
      <c r="L10" s="17">
        <v>8278696.6780000003</v>
      </c>
      <c r="M10" s="17">
        <v>5397571.1780000003</v>
      </c>
      <c r="N10" s="17">
        <v>5349335.6780000003</v>
      </c>
      <c r="O10" s="17">
        <v>5096449.1780000003</v>
      </c>
      <c r="P10" s="17">
        <v>4850881.6780000003</v>
      </c>
      <c r="Q10" s="17">
        <v>5062950.6780000003</v>
      </c>
      <c r="R10" s="18">
        <v>5399430.6780000003</v>
      </c>
      <c r="S10" s="17">
        <v>13143675.177999999</v>
      </c>
      <c r="T10" s="17">
        <v>11635654.177999999</v>
      </c>
      <c r="U10" s="17">
        <v>11427908.177999999</v>
      </c>
      <c r="V10" s="17">
        <v>13555390.177999999</v>
      </c>
      <c r="W10" s="17">
        <v>9724256.1779999994</v>
      </c>
      <c r="X10" s="17">
        <v>9227534.1779999994</v>
      </c>
      <c r="Y10" s="17">
        <v>6685193.6780000003</v>
      </c>
      <c r="Z10" s="17">
        <v>6632577.6780000003</v>
      </c>
      <c r="AA10" s="17">
        <v>7883521.6780000003</v>
      </c>
    </row>
    <row r="11" spans="1:27" x14ac:dyDescent="0.2">
      <c r="A11" s="11" t="s">
        <v>42</v>
      </c>
      <c r="B11" s="11" t="s">
        <v>43</v>
      </c>
      <c r="C11" s="11" t="str">
        <f t="shared" si="0"/>
        <v>18</v>
      </c>
      <c r="D11" s="17">
        <v>133593682.84999999</v>
      </c>
      <c r="E11" s="17">
        <v>164556850.84999999</v>
      </c>
      <c r="F11" s="17">
        <v>136541730.84999999</v>
      </c>
      <c r="G11" s="17">
        <v>149782818.84999999</v>
      </c>
      <c r="H11" s="17">
        <v>135385042.84999999</v>
      </c>
      <c r="I11" s="18">
        <v>113735506.84999999</v>
      </c>
      <c r="J11" s="17">
        <v>167030610.84999999</v>
      </c>
      <c r="K11" s="17">
        <v>381244978.85000002</v>
      </c>
      <c r="L11" s="17">
        <v>201050338.84999999</v>
      </c>
      <c r="M11" s="17">
        <v>124900114.84999999</v>
      </c>
      <c r="N11" s="17">
        <v>134586018.84999999</v>
      </c>
      <c r="O11" s="17">
        <v>145040914.84999999</v>
      </c>
      <c r="P11" s="17">
        <v>133270658.84999999</v>
      </c>
      <c r="Q11" s="17">
        <v>90153258.849999994</v>
      </c>
      <c r="R11" s="18">
        <v>138983186.84999999</v>
      </c>
      <c r="S11" s="17">
        <v>107113298.84999999</v>
      </c>
      <c r="T11" s="17">
        <v>291757810.85000002</v>
      </c>
      <c r="U11" s="17">
        <v>84274682.849999994</v>
      </c>
      <c r="V11" s="17">
        <v>100523290.84999999</v>
      </c>
      <c r="W11" s="17">
        <v>77527986.849999994</v>
      </c>
      <c r="X11" s="17">
        <v>102162170.84999999</v>
      </c>
      <c r="Y11" s="17">
        <v>67713642.849999994</v>
      </c>
      <c r="Z11" s="17">
        <v>80676506.849999994</v>
      </c>
      <c r="AA11" s="17">
        <v>69444410.849999994</v>
      </c>
    </row>
    <row r="12" spans="1:27" s="4" customFormat="1" x14ac:dyDescent="0.2">
      <c r="A12" s="19" t="s">
        <v>44</v>
      </c>
      <c r="B12" s="19" t="s">
        <v>45</v>
      </c>
      <c r="C12" s="11" t="str">
        <f t="shared" si="0"/>
        <v>18</v>
      </c>
      <c r="D12" s="20">
        <v>1248188780.6700001</v>
      </c>
      <c r="E12" s="20">
        <v>1010147244.67</v>
      </c>
      <c r="F12" s="20">
        <v>951535276.66999996</v>
      </c>
      <c r="G12" s="20">
        <v>990135596.66999996</v>
      </c>
      <c r="H12" s="20">
        <v>848172588.66999996</v>
      </c>
      <c r="I12" s="21">
        <v>724158700.66999996</v>
      </c>
      <c r="J12" s="20">
        <v>946594988.66999996</v>
      </c>
      <c r="K12" s="20">
        <v>1246586732.6700001</v>
      </c>
      <c r="L12" s="20">
        <v>1086111340.6700001</v>
      </c>
      <c r="M12" s="20">
        <v>939654636.66999996</v>
      </c>
      <c r="N12" s="20">
        <v>798011308.66999996</v>
      </c>
      <c r="O12" s="20">
        <v>819609388.66999996</v>
      </c>
      <c r="P12" s="20">
        <v>741218732.66999996</v>
      </c>
      <c r="Q12" s="20">
        <v>657201708.66999996</v>
      </c>
      <c r="R12" s="21">
        <v>855907052.66999996</v>
      </c>
      <c r="S12" s="20">
        <v>1495818732.6700001</v>
      </c>
      <c r="T12" s="20">
        <v>1795255916.6700001</v>
      </c>
      <c r="U12" s="20">
        <v>1307888876.6700001</v>
      </c>
      <c r="V12" s="20">
        <v>1590234732.6700001</v>
      </c>
      <c r="W12" s="20">
        <v>1272845548.6700001</v>
      </c>
      <c r="X12" s="20">
        <v>1506787436.6700001</v>
      </c>
      <c r="Y12" s="20">
        <v>887811372.66999996</v>
      </c>
      <c r="Z12" s="20">
        <v>1116173292.6700001</v>
      </c>
      <c r="AA12" s="20">
        <v>1078217708.6700001</v>
      </c>
    </row>
    <row r="13" spans="1:27" s="4" customFormat="1" x14ac:dyDescent="0.2">
      <c r="A13" s="19" t="s">
        <v>46</v>
      </c>
      <c r="B13" s="19" t="s">
        <v>47</v>
      </c>
      <c r="C13" s="11" t="str">
        <f t="shared" si="0"/>
        <v>18</v>
      </c>
      <c r="D13" s="20">
        <v>1170805991.102</v>
      </c>
      <c r="E13" s="20">
        <v>1093447911.102</v>
      </c>
      <c r="F13" s="20">
        <v>785138855.102</v>
      </c>
      <c r="G13" s="20">
        <v>783202983.102</v>
      </c>
      <c r="H13" s="20">
        <v>861941031.102</v>
      </c>
      <c r="I13" s="21">
        <v>806176295.102</v>
      </c>
      <c r="J13" s="20">
        <v>641293543.102</v>
      </c>
      <c r="K13" s="20">
        <v>745547815.102</v>
      </c>
      <c r="L13" s="20">
        <v>719135655.102</v>
      </c>
      <c r="M13" s="20">
        <v>498918023.102</v>
      </c>
      <c r="N13" s="20">
        <v>470539879.102</v>
      </c>
      <c r="O13" s="20">
        <v>480189671.102</v>
      </c>
      <c r="P13" s="20">
        <v>470798087.102</v>
      </c>
      <c r="Q13" s="20">
        <v>468588551.102</v>
      </c>
      <c r="R13" s="21">
        <v>489426279.102</v>
      </c>
      <c r="S13" s="20">
        <v>1121357543.102</v>
      </c>
      <c r="T13" s="20">
        <v>1243183975.102</v>
      </c>
      <c r="U13" s="20">
        <v>1102910183.102</v>
      </c>
      <c r="V13" s="20">
        <v>1097730151.102</v>
      </c>
      <c r="W13" s="20">
        <v>895338215.102</v>
      </c>
      <c r="X13" s="20">
        <v>1071032103.102</v>
      </c>
      <c r="Y13" s="20">
        <v>672598887.102</v>
      </c>
      <c r="Z13" s="20">
        <v>735166887.102</v>
      </c>
      <c r="AA13" s="20">
        <v>765719015.102</v>
      </c>
    </row>
    <row r="14" spans="1:27" x14ac:dyDescent="0.2">
      <c r="A14" s="11" t="s">
        <v>48</v>
      </c>
      <c r="B14" s="11" t="s">
        <v>49</v>
      </c>
      <c r="C14" s="11" t="str">
        <f t="shared" si="0"/>
        <v>18</v>
      </c>
      <c r="D14" s="17">
        <v>124875367.818</v>
      </c>
      <c r="E14" s="17">
        <v>128587239.818</v>
      </c>
      <c r="F14" s="17">
        <v>94145055.818000004</v>
      </c>
      <c r="G14" s="17">
        <v>89878199.818000004</v>
      </c>
      <c r="H14" s="17">
        <v>88388295.818000004</v>
      </c>
      <c r="I14" s="18">
        <v>80023223.818000004</v>
      </c>
      <c r="J14" s="17">
        <v>51866415.818000004</v>
      </c>
      <c r="K14" s="17">
        <v>48610815.818000004</v>
      </c>
      <c r="L14" s="17">
        <v>59395743.818000004</v>
      </c>
      <c r="M14" s="17">
        <v>39450211.818000004</v>
      </c>
      <c r="N14" s="17">
        <v>41643655.818000004</v>
      </c>
      <c r="O14" s="17">
        <v>44746699.818000004</v>
      </c>
      <c r="P14" s="17">
        <v>38067867.818000004</v>
      </c>
      <c r="Q14" s="17">
        <v>41283863.818000004</v>
      </c>
      <c r="R14" s="18">
        <v>35243403.818000004</v>
      </c>
      <c r="S14" s="17">
        <v>129363431.818</v>
      </c>
      <c r="T14" s="17">
        <v>108602343.818</v>
      </c>
      <c r="U14" s="17">
        <v>121451479.818</v>
      </c>
      <c r="V14" s="17">
        <v>108934295.818</v>
      </c>
      <c r="W14" s="17">
        <v>98973015.818000004</v>
      </c>
      <c r="X14" s="17">
        <v>119020999.818</v>
      </c>
      <c r="Y14" s="17">
        <v>72830567.818000004</v>
      </c>
      <c r="Z14" s="17">
        <v>66261547.818000004</v>
      </c>
      <c r="AA14" s="17">
        <v>72667039.818000004</v>
      </c>
    </row>
    <row r="15" spans="1:27" x14ac:dyDescent="0.2">
      <c r="A15" s="11" t="s">
        <v>50</v>
      </c>
      <c r="B15" s="11" t="s">
        <v>51</v>
      </c>
      <c r="C15" s="11" t="str">
        <f t="shared" si="0"/>
        <v>18</v>
      </c>
      <c r="D15" s="17">
        <v>6501202.5</v>
      </c>
      <c r="E15" s="17">
        <v>6494757.5</v>
      </c>
      <c r="F15" s="17">
        <v>3747154.75</v>
      </c>
      <c r="G15" s="17">
        <v>4357541.5</v>
      </c>
      <c r="H15" s="17">
        <v>5370976.5</v>
      </c>
      <c r="I15" s="18">
        <v>3657379</v>
      </c>
      <c r="J15" s="17">
        <v>628235.68999999994</v>
      </c>
      <c r="K15" s="17">
        <v>1354762.62</v>
      </c>
      <c r="L15" s="17">
        <v>1670969.38</v>
      </c>
      <c r="M15" s="17">
        <v>648904.06000000006</v>
      </c>
      <c r="N15" s="17">
        <v>594508.06000000006</v>
      </c>
      <c r="O15" s="17">
        <v>648108.38</v>
      </c>
      <c r="P15" s="17">
        <v>510190.38</v>
      </c>
      <c r="Q15" s="17">
        <v>774433.5</v>
      </c>
      <c r="R15" s="18">
        <v>478627.75</v>
      </c>
      <c r="S15" s="17">
        <v>4178982.75</v>
      </c>
      <c r="T15" s="17">
        <v>3571504.75</v>
      </c>
      <c r="U15" s="17">
        <v>3985127.25</v>
      </c>
      <c r="V15" s="17">
        <v>5102860.5</v>
      </c>
      <c r="W15" s="17">
        <v>3034117.25</v>
      </c>
      <c r="X15" s="17">
        <v>4635708.5</v>
      </c>
      <c r="Y15" s="17">
        <v>2763804.75</v>
      </c>
      <c r="Z15" s="17">
        <v>2320635</v>
      </c>
      <c r="AA15" s="17">
        <v>2848066.75</v>
      </c>
    </row>
    <row r="16" spans="1:27" x14ac:dyDescent="0.2">
      <c r="A16" s="11" t="s">
        <v>52</v>
      </c>
      <c r="B16" s="11" t="s">
        <v>53</v>
      </c>
      <c r="C16" s="11" t="str">
        <f t="shared" si="0"/>
        <v>19</v>
      </c>
      <c r="D16" s="17">
        <v>2407292.0920000002</v>
      </c>
      <c r="E16" s="17">
        <v>3965941.8420000002</v>
      </c>
      <c r="F16" s="17">
        <v>1668746.9620000001</v>
      </c>
      <c r="G16" s="17">
        <v>2144959.0920000002</v>
      </c>
      <c r="H16" s="17">
        <v>2971025.8420000002</v>
      </c>
      <c r="I16" s="18">
        <v>2291253.8420000002</v>
      </c>
      <c r="J16" s="17">
        <v>1425464.7219999998</v>
      </c>
      <c r="K16" s="17">
        <v>1494218.9620000001</v>
      </c>
      <c r="L16" s="17">
        <v>934575.34199999995</v>
      </c>
      <c r="M16" s="17">
        <v>821403.03199999989</v>
      </c>
      <c r="N16" s="17">
        <v>1149440.7219999998</v>
      </c>
      <c r="O16" s="17">
        <v>697168.902</v>
      </c>
      <c r="P16" s="17">
        <v>816442.152</v>
      </c>
      <c r="Q16" s="17">
        <v>737174.78199999989</v>
      </c>
      <c r="R16" s="18">
        <v>1197062.3419999999</v>
      </c>
      <c r="S16" s="17">
        <v>1003273.2219999998</v>
      </c>
      <c r="T16" s="17">
        <v>1807529.4620000001</v>
      </c>
      <c r="U16" s="17">
        <v>425057.00199999998</v>
      </c>
      <c r="V16" s="17">
        <v>867357.28199999989</v>
      </c>
      <c r="W16" s="17">
        <v>699568.03199999989</v>
      </c>
      <c r="X16" s="17">
        <v>634927.59199999995</v>
      </c>
      <c r="Y16" s="17">
        <v>848615.59199999995</v>
      </c>
      <c r="Z16" s="17">
        <v>747422.652</v>
      </c>
      <c r="AA16" s="17">
        <v>941247.53199999989</v>
      </c>
    </row>
    <row r="17" spans="1:27" x14ac:dyDescent="0.2">
      <c r="A17" s="11" t="s">
        <v>54</v>
      </c>
      <c r="B17" s="11" t="s">
        <v>55</v>
      </c>
      <c r="C17" s="11" t="str">
        <f t="shared" si="0"/>
        <v>19</v>
      </c>
      <c r="D17" s="17">
        <v>7435991.7939999998</v>
      </c>
      <c r="E17" s="17">
        <v>5337999.2939999998</v>
      </c>
      <c r="F17" s="17">
        <v>4238194.7939999998</v>
      </c>
      <c r="G17" s="17">
        <v>4921211.2939999998</v>
      </c>
      <c r="H17" s="17">
        <v>5776473.7939999998</v>
      </c>
      <c r="I17" s="18">
        <v>4280753.7939999998</v>
      </c>
      <c r="J17" s="17">
        <v>2998515.2940000002</v>
      </c>
      <c r="K17" s="17">
        <v>3175065.2940000002</v>
      </c>
      <c r="L17" s="17">
        <v>3232218.5440000002</v>
      </c>
      <c r="M17" s="17">
        <v>2413537.0440000002</v>
      </c>
      <c r="N17" s="17">
        <v>2420586.2940000002</v>
      </c>
      <c r="O17" s="17">
        <v>2520886.2940000002</v>
      </c>
      <c r="P17" s="17">
        <v>2490185.5440000002</v>
      </c>
      <c r="Q17" s="17">
        <v>2084256.794</v>
      </c>
      <c r="R17" s="18">
        <v>2330806.5440000002</v>
      </c>
      <c r="S17" s="17">
        <v>3939989.5440000002</v>
      </c>
      <c r="T17" s="17">
        <v>5241706.2939999998</v>
      </c>
      <c r="U17" s="17">
        <v>2736593.2940000002</v>
      </c>
      <c r="V17" s="17">
        <v>3858506.2940000002</v>
      </c>
      <c r="W17" s="17">
        <v>2928127.2940000002</v>
      </c>
      <c r="X17" s="17">
        <v>2800129.2940000002</v>
      </c>
      <c r="Y17" s="17">
        <v>3112898.5440000002</v>
      </c>
      <c r="Z17" s="17">
        <v>3039871.2940000002</v>
      </c>
      <c r="AA17" s="17">
        <v>2849966.0440000002</v>
      </c>
    </row>
    <row r="18" spans="1:27" x14ac:dyDescent="0.2">
      <c r="A18" s="11" t="s">
        <v>56</v>
      </c>
      <c r="B18" s="11" t="s">
        <v>57</v>
      </c>
      <c r="C18" s="11" t="str">
        <f t="shared" si="0"/>
        <v>20</v>
      </c>
      <c r="D18" s="17">
        <v>6760825.5439999998</v>
      </c>
      <c r="E18" s="17">
        <v>10236846.044</v>
      </c>
      <c r="F18" s="17">
        <v>4783593.5439999998</v>
      </c>
      <c r="G18" s="17">
        <v>5398526.5439999998</v>
      </c>
      <c r="H18" s="17">
        <v>6455620.5439999998</v>
      </c>
      <c r="I18" s="18">
        <v>5870548.5439999998</v>
      </c>
      <c r="J18" s="17">
        <v>3481561.2939999998</v>
      </c>
      <c r="K18" s="17">
        <v>5968776.5439999998</v>
      </c>
      <c r="L18" s="17">
        <v>3912134.7939999998</v>
      </c>
      <c r="M18" s="17">
        <v>2092733.544</v>
      </c>
      <c r="N18" s="17">
        <v>2990365.7939999998</v>
      </c>
      <c r="O18" s="17">
        <v>3410600.7939999998</v>
      </c>
      <c r="P18" s="17">
        <v>2095411.794</v>
      </c>
      <c r="Q18" s="17">
        <v>2273733.0439999998</v>
      </c>
      <c r="R18" s="18">
        <v>2798442.7939999998</v>
      </c>
      <c r="S18" s="17">
        <v>1734277.4239999999</v>
      </c>
      <c r="T18" s="17">
        <v>4732847.5439999998</v>
      </c>
      <c r="U18" s="17">
        <v>1093656.044</v>
      </c>
      <c r="V18" s="17">
        <v>1761244.6640000001</v>
      </c>
      <c r="W18" s="17">
        <v>1320700.4239999999</v>
      </c>
      <c r="X18" s="17">
        <v>1664943.9239999999</v>
      </c>
      <c r="Y18" s="17">
        <v>1387721.9239999999</v>
      </c>
      <c r="Z18" s="17">
        <v>1252685.044</v>
      </c>
      <c r="AA18" s="17">
        <v>1473330.1640000001</v>
      </c>
    </row>
    <row r="19" spans="1:27" x14ac:dyDescent="0.2">
      <c r="A19" s="11" t="s">
        <v>58</v>
      </c>
      <c r="B19" s="11" t="s">
        <v>59</v>
      </c>
      <c r="C19" s="11" t="str">
        <f t="shared" si="0"/>
        <v>20</v>
      </c>
      <c r="D19" s="17">
        <v>50433226.649999999</v>
      </c>
      <c r="E19" s="17">
        <v>51869118.649999999</v>
      </c>
      <c r="F19" s="17">
        <v>34769158.649999999</v>
      </c>
      <c r="G19" s="17">
        <v>34305306.649999999</v>
      </c>
      <c r="H19" s="17">
        <v>38584910.649999999</v>
      </c>
      <c r="I19" s="18">
        <v>30059426.649999999</v>
      </c>
      <c r="J19" s="17">
        <v>29941232.649999999</v>
      </c>
      <c r="K19" s="17">
        <v>22760596.649999999</v>
      </c>
      <c r="L19" s="17">
        <v>27813994.649999999</v>
      </c>
      <c r="M19" s="17">
        <v>22009228.649999999</v>
      </c>
      <c r="N19" s="17">
        <v>21043874.649999999</v>
      </c>
      <c r="O19" s="17">
        <v>20767642.649999999</v>
      </c>
      <c r="P19" s="17">
        <v>18724970.649999999</v>
      </c>
      <c r="Q19" s="17">
        <v>16209515.65</v>
      </c>
      <c r="R19" s="18">
        <v>27371250.649999999</v>
      </c>
      <c r="S19" s="17">
        <v>23719820.649999999</v>
      </c>
      <c r="T19" s="17">
        <v>32799980.649999999</v>
      </c>
      <c r="U19" s="17">
        <v>19500710.649999999</v>
      </c>
      <c r="V19" s="17">
        <v>26537712.649999999</v>
      </c>
      <c r="W19" s="17">
        <v>24469714.649999999</v>
      </c>
      <c r="X19" s="17">
        <v>31684690.649999999</v>
      </c>
      <c r="Y19" s="17">
        <v>17171998.649999999</v>
      </c>
      <c r="Z19" s="17">
        <v>19812652.649999999</v>
      </c>
      <c r="AA19" s="17">
        <v>20342784.649999999</v>
      </c>
    </row>
    <row r="20" spans="1:27" x14ac:dyDescent="0.2">
      <c r="A20" s="11" t="s">
        <v>60</v>
      </c>
      <c r="B20" s="11" t="s">
        <v>61</v>
      </c>
      <c r="C20" s="11" t="str">
        <f t="shared" si="0"/>
        <v>20</v>
      </c>
      <c r="D20" s="17">
        <v>24662482</v>
      </c>
      <c r="E20" s="17">
        <v>28088046</v>
      </c>
      <c r="F20" s="17">
        <v>17784486</v>
      </c>
      <c r="G20" s="17">
        <v>17811320</v>
      </c>
      <c r="H20" s="17">
        <v>21966426</v>
      </c>
      <c r="I20" s="18">
        <v>18711398</v>
      </c>
      <c r="J20" s="17">
        <v>22228502</v>
      </c>
      <c r="K20" s="17">
        <v>27608326</v>
      </c>
      <c r="L20" s="17">
        <v>31048986</v>
      </c>
      <c r="M20" s="17">
        <v>19457598</v>
      </c>
      <c r="N20" s="17">
        <v>17184790</v>
      </c>
      <c r="O20" s="17">
        <v>23130752</v>
      </c>
      <c r="P20" s="17">
        <v>16961712</v>
      </c>
      <c r="Q20" s="17">
        <v>19084388</v>
      </c>
      <c r="R20" s="18">
        <v>23411576</v>
      </c>
      <c r="S20" s="17">
        <v>20867864</v>
      </c>
      <c r="T20" s="17">
        <v>30702202</v>
      </c>
      <c r="U20" s="17">
        <v>22233962</v>
      </c>
      <c r="V20" s="17">
        <v>27147046</v>
      </c>
      <c r="W20" s="17">
        <v>19543010</v>
      </c>
      <c r="X20" s="17">
        <v>25157382</v>
      </c>
      <c r="Y20" s="17">
        <v>16422091</v>
      </c>
      <c r="Z20" s="17">
        <v>20164350</v>
      </c>
      <c r="AA20" s="17">
        <v>17861372</v>
      </c>
    </row>
    <row r="21" spans="1:27" x14ac:dyDescent="0.2">
      <c r="A21" s="11" t="s">
        <v>62</v>
      </c>
      <c r="B21" s="11" t="s">
        <v>63</v>
      </c>
      <c r="C21" s="11" t="str">
        <f t="shared" si="0"/>
        <v>20</v>
      </c>
      <c r="D21" s="17">
        <v>30752542</v>
      </c>
      <c r="E21" s="17">
        <v>32731070</v>
      </c>
      <c r="F21" s="17">
        <v>24040784</v>
      </c>
      <c r="G21" s="17">
        <v>24498594</v>
      </c>
      <c r="H21" s="17">
        <v>22819970</v>
      </c>
      <c r="I21" s="18">
        <v>24896006</v>
      </c>
      <c r="J21" s="17">
        <v>35893284</v>
      </c>
      <c r="K21" s="17">
        <v>34108416</v>
      </c>
      <c r="L21" s="17">
        <v>33568060</v>
      </c>
      <c r="M21" s="17">
        <v>29547136</v>
      </c>
      <c r="N21" s="17">
        <v>25534738</v>
      </c>
      <c r="O21" s="17">
        <v>24579678</v>
      </c>
      <c r="P21" s="17">
        <v>30293960</v>
      </c>
      <c r="Q21" s="17">
        <v>26928210</v>
      </c>
      <c r="R21" s="18">
        <v>33646396</v>
      </c>
      <c r="S21" s="17">
        <v>55268660</v>
      </c>
      <c r="T21" s="17">
        <v>67646184</v>
      </c>
      <c r="U21" s="17">
        <v>52779568</v>
      </c>
      <c r="V21" s="17">
        <v>55900256</v>
      </c>
      <c r="W21" s="17">
        <v>46888620</v>
      </c>
      <c r="X21" s="17">
        <v>59299724</v>
      </c>
      <c r="Y21" s="17">
        <v>35353076</v>
      </c>
      <c r="Z21" s="17">
        <v>44363920</v>
      </c>
      <c r="AA21" s="17">
        <v>40649164</v>
      </c>
    </row>
    <row r="22" spans="1:27" x14ac:dyDescent="0.2">
      <c r="A22" s="22" t="s">
        <v>64</v>
      </c>
      <c r="B22" s="11" t="s">
        <v>65</v>
      </c>
      <c r="C22" s="11" t="str">
        <f t="shared" si="0"/>
        <v>20</v>
      </c>
      <c r="D22" s="17">
        <v>103480378.30599999</v>
      </c>
      <c r="E22" s="17">
        <v>120744906.30599999</v>
      </c>
      <c r="F22" s="17">
        <v>77379570.305999994</v>
      </c>
      <c r="G22" s="17">
        <v>81590546.305999994</v>
      </c>
      <c r="H22" s="17">
        <v>85422554.305999994</v>
      </c>
      <c r="I22" s="18">
        <v>85435634.305999994</v>
      </c>
      <c r="J22" s="17">
        <v>127244938.30599999</v>
      </c>
      <c r="K22" s="17">
        <v>172490626.30599999</v>
      </c>
      <c r="L22" s="17">
        <v>182981890.30599999</v>
      </c>
      <c r="M22" s="17">
        <v>114105786.30599999</v>
      </c>
      <c r="N22" s="17">
        <v>109732946.30599999</v>
      </c>
      <c r="O22" s="17">
        <v>124998866.30599999</v>
      </c>
      <c r="P22" s="17">
        <v>118125882.30599999</v>
      </c>
      <c r="Q22" s="17">
        <v>115969106.30599999</v>
      </c>
      <c r="R22" s="18">
        <v>124242874.30599999</v>
      </c>
      <c r="S22" s="17">
        <v>145482498.30599999</v>
      </c>
      <c r="T22" s="17">
        <v>205927266.30599999</v>
      </c>
      <c r="U22" s="17">
        <v>147113010.30599999</v>
      </c>
      <c r="V22" s="17">
        <v>170745810.30599999</v>
      </c>
      <c r="W22" s="17">
        <v>134732322.30599999</v>
      </c>
      <c r="X22" s="17">
        <v>152068194.30599999</v>
      </c>
      <c r="Y22" s="17">
        <v>109021522.30599999</v>
      </c>
      <c r="Z22" s="17">
        <v>142210706.30599999</v>
      </c>
      <c r="AA22" s="17">
        <v>110617978.30599999</v>
      </c>
    </row>
    <row r="23" spans="1:27" x14ac:dyDescent="0.2">
      <c r="A23" s="11" t="s">
        <v>66</v>
      </c>
      <c r="B23" s="11" t="s">
        <v>67</v>
      </c>
      <c r="C23" s="11" t="str">
        <f t="shared" si="0"/>
        <v>20</v>
      </c>
      <c r="D23" s="17">
        <v>46152911.223999999</v>
      </c>
      <c r="E23" s="17">
        <v>38038815.223999999</v>
      </c>
      <c r="F23" s="17">
        <v>30286331.223999999</v>
      </c>
      <c r="G23" s="17">
        <v>30301259.223999999</v>
      </c>
      <c r="H23" s="17">
        <v>25608357.223999999</v>
      </c>
      <c r="I23" s="18">
        <v>21948359.223999999</v>
      </c>
      <c r="J23" s="17">
        <v>7186611.2240000004</v>
      </c>
      <c r="K23" s="17">
        <v>7762327.2240000004</v>
      </c>
      <c r="L23" s="17">
        <v>10749603.223999999</v>
      </c>
      <c r="M23" s="17">
        <v>5335575.7240000004</v>
      </c>
      <c r="N23" s="17">
        <v>4047070.4739999999</v>
      </c>
      <c r="O23" s="17">
        <v>4286295.2240000004</v>
      </c>
      <c r="P23" s="17">
        <v>4499235.7240000004</v>
      </c>
      <c r="Q23" s="17">
        <v>5241884.7240000004</v>
      </c>
      <c r="R23" s="18">
        <v>4804050.2240000004</v>
      </c>
      <c r="S23" s="17">
        <v>36651559.223999999</v>
      </c>
      <c r="T23" s="17">
        <v>38910447.223999999</v>
      </c>
      <c r="U23" s="17">
        <v>38775095.223999999</v>
      </c>
      <c r="V23" s="17">
        <v>37007247.223999999</v>
      </c>
      <c r="W23" s="17">
        <v>33922439.223999999</v>
      </c>
      <c r="X23" s="17">
        <v>44482087.223999999</v>
      </c>
      <c r="Y23" s="17">
        <v>21835907.223999999</v>
      </c>
      <c r="Z23" s="17">
        <v>29630347.223999999</v>
      </c>
      <c r="AA23" s="17">
        <v>24155957.223999999</v>
      </c>
    </row>
    <row r="24" spans="1:27" x14ac:dyDescent="0.2">
      <c r="A24" s="11" t="s">
        <v>68</v>
      </c>
      <c r="B24" s="11" t="s">
        <v>69</v>
      </c>
      <c r="C24" s="11" t="str">
        <f t="shared" si="0"/>
        <v>22</v>
      </c>
      <c r="D24" s="17">
        <v>12753086.961999999</v>
      </c>
      <c r="E24" s="17">
        <v>15714738.961999999</v>
      </c>
      <c r="F24" s="17">
        <v>11102455.961999999</v>
      </c>
      <c r="G24" s="17">
        <v>11704577.961999999</v>
      </c>
      <c r="H24" s="17">
        <v>10948481.961999999</v>
      </c>
      <c r="I24" s="18">
        <v>11118075.961999999</v>
      </c>
      <c r="J24" s="17">
        <v>26219716.962000001</v>
      </c>
      <c r="K24" s="17">
        <v>25134960.962000001</v>
      </c>
      <c r="L24" s="17">
        <v>26066982.962000001</v>
      </c>
      <c r="M24" s="17">
        <v>23071556.962000001</v>
      </c>
      <c r="N24" s="17">
        <v>21810352.962000001</v>
      </c>
      <c r="O24" s="17">
        <v>19779308.962000001</v>
      </c>
      <c r="P24" s="17">
        <v>20157204.962000001</v>
      </c>
      <c r="Q24" s="17">
        <v>17530464.962000001</v>
      </c>
      <c r="R24" s="18">
        <v>21904996.962000001</v>
      </c>
      <c r="S24" s="17">
        <v>22049292.962000001</v>
      </c>
      <c r="T24" s="17">
        <v>29826372.962000001</v>
      </c>
      <c r="U24" s="17">
        <v>20335032.962000001</v>
      </c>
      <c r="V24" s="17">
        <v>20775636.962000001</v>
      </c>
      <c r="W24" s="17">
        <v>19599904.962000001</v>
      </c>
      <c r="X24" s="17">
        <v>25022894.962000001</v>
      </c>
      <c r="Y24" s="17">
        <v>17139436.962000001</v>
      </c>
      <c r="Z24" s="17">
        <v>17636282.962000001</v>
      </c>
      <c r="AA24" s="17">
        <v>16421078.961999999</v>
      </c>
    </row>
    <row r="25" spans="1:27" x14ac:dyDescent="0.2">
      <c r="A25" s="11" t="s">
        <v>70</v>
      </c>
      <c r="B25" s="11" t="s">
        <v>71</v>
      </c>
      <c r="C25" s="11" t="str">
        <f t="shared" si="0"/>
        <v>22</v>
      </c>
      <c r="D25" s="17">
        <v>57155060</v>
      </c>
      <c r="E25" s="17">
        <v>52671488</v>
      </c>
      <c r="F25" s="17">
        <v>39054836</v>
      </c>
      <c r="G25" s="17">
        <v>44308232</v>
      </c>
      <c r="H25" s="17">
        <v>42568744</v>
      </c>
      <c r="I25" s="18">
        <v>44639632</v>
      </c>
      <c r="J25" s="17">
        <v>33225466</v>
      </c>
      <c r="K25" s="17">
        <v>34266364</v>
      </c>
      <c r="L25" s="17">
        <v>46478064</v>
      </c>
      <c r="M25" s="17">
        <v>28607168</v>
      </c>
      <c r="N25" s="17">
        <v>25473510</v>
      </c>
      <c r="O25" s="17">
        <v>27692712</v>
      </c>
      <c r="P25" s="17">
        <v>28629280</v>
      </c>
      <c r="Q25" s="17">
        <v>31870370</v>
      </c>
      <c r="R25" s="18">
        <v>29342680</v>
      </c>
      <c r="S25" s="17">
        <v>60770004</v>
      </c>
      <c r="T25" s="17">
        <v>83937568</v>
      </c>
      <c r="U25" s="17">
        <v>61306896</v>
      </c>
      <c r="V25" s="17">
        <v>70181080</v>
      </c>
      <c r="W25" s="17">
        <v>55963772</v>
      </c>
      <c r="X25" s="17">
        <v>78173208</v>
      </c>
      <c r="Y25" s="17">
        <v>38689804</v>
      </c>
      <c r="Z25" s="17">
        <v>54267860</v>
      </c>
      <c r="AA25" s="17">
        <v>51323220</v>
      </c>
    </row>
    <row r="26" spans="1:27" x14ac:dyDescent="0.2">
      <c r="A26" s="22" t="s">
        <v>72</v>
      </c>
      <c r="B26" s="11" t="s">
        <v>73</v>
      </c>
      <c r="C26" s="11" t="str">
        <f t="shared" si="0"/>
        <v>22</v>
      </c>
      <c r="D26" s="17">
        <v>335374005.53399998</v>
      </c>
      <c r="E26" s="17">
        <v>356308661.53399998</v>
      </c>
      <c r="F26" s="17">
        <v>199115525.53400001</v>
      </c>
      <c r="G26" s="17">
        <v>244849317.53400001</v>
      </c>
      <c r="H26" s="17">
        <v>304418485.53399998</v>
      </c>
      <c r="I26" s="18">
        <v>245253701.53400001</v>
      </c>
      <c r="J26" s="17">
        <v>143089493.53400001</v>
      </c>
      <c r="K26" s="17">
        <v>220767109.53400001</v>
      </c>
      <c r="L26" s="17">
        <v>222527365.53400001</v>
      </c>
      <c r="M26" s="17">
        <v>106919853.53399999</v>
      </c>
      <c r="N26" s="17">
        <v>97372093.533999994</v>
      </c>
      <c r="O26" s="17">
        <v>100764597.53399999</v>
      </c>
      <c r="P26" s="17">
        <v>116121461.53399999</v>
      </c>
      <c r="Q26" s="17">
        <v>118056533.53399999</v>
      </c>
      <c r="R26" s="18">
        <v>127121685.53399999</v>
      </c>
      <c r="S26" s="17">
        <v>354609141.53399998</v>
      </c>
      <c r="T26" s="17">
        <v>443287029.53399998</v>
      </c>
      <c r="U26" s="17">
        <v>377664245.53399998</v>
      </c>
      <c r="V26" s="17">
        <v>371948789.53399998</v>
      </c>
      <c r="W26" s="17">
        <v>311952853.53399998</v>
      </c>
      <c r="X26" s="17">
        <v>372381301.53399998</v>
      </c>
      <c r="Y26" s="17">
        <v>221114469.53400001</v>
      </c>
      <c r="Z26" s="17">
        <v>305070229.53399998</v>
      </c>
      <c r="AA26" s="17">
        <v>281492085.53399998</v>
      </c>
    </row>
  </sheetData>
  <phoneticPr fontId="1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E763C-8B4A-A84C-BB1B-10A2D3F385F3}">
  <dimension ref="A1:Z27"/>
  <sheetViews>
    <sheetView zoomScale="133" workbookViewId="0">
      <selection activeCell="D10" sqref="D10"/>
    </sheetView>
  </sheetViews>
  <sheetFormatPr baseColWidth="10" defaultRowHeight="16" x14ac:dyDescent="0.2"/>
  <sheetData>
    <row r="1" spans="1:26" ht="21" x14ac:dyDescent="0.25">
      <c r="A1" s="23" t="s">
        <v>98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x14ac:dyDescent="0.2">
      <c r="A2" t="s">
        <v>0</v>
      </c>
      <c r="B2" t="s">
        <v>1</v>
      </c>
      <c r="C2" t="s">
        <v>5</v>
      </c>
      <c r="D2" t="s">
        <v>6</v>
      </c>
      <c r="E2" t="s">
        <v>13</v>
      </c>
      <c r="F2" t="s">
        <v>14</v>
      </c>
      <c r="G2" t="s">
        <v>21</v>
      </c>
      <c r="H2" s="7" t="s">
        <v>22</v>
      </c>
      <c r="I2" t="s">
        <v>2</v>
      </c>
      <c r="J2" t="s">
        <v>3</v>
      </c>
      <c r="K2" t="s">
        <v>4</v>
      </c>
      <c r="L2" t="s">
        <v>10</v>
      </c>
      <c r="M2" t="s">
        <v>11</v>
      </c>
      <c r="N2" t="s">
        <v>12</v>
      </c>
      <c r="O2" t="s">
        <v>18</v>
      </c>
      <c r="P2" t="s">
        <v>19</v>
      </c>
      <c r="Q2" s="7" t="s">
        <v>20</v>
      </c>
      <c r="R2" t="s">
        <v>7</v>
      </c>
      <c r="S2" t="s">
        <v>8</v>
      </c>
      <c r="T2" t="s">
        <v>9</v>
      </c>
      <c r="U2" t="s">
        <v>15</v>
      </c>
      <c r="V2" t="s">
        <v>16</v>
      </c>
      <c r="W2" t="s">
        <v>17</v>
      </c>
      <c r="X2" t="s">
        <v>23</v>
      </c>
      <c r="Y2" t="s">
        <v>24</v>
      </c>
      <c r="Z2" t="s">
        <v>25</v>
      </c>
    </row>
    <row r="3" spans="1:26" x14ac:dyDescent="0.2">
      <c r="A3" t="s">
        <v>0</v>
      </c>
      <c r="B3" t="s">
        <v>1</v>
      </c>
      <c r="C3" s="2" t="s">
        <v>83</v>
      </c>
      <c r="D3" s="2" t="s">
        <v>84</v>
      </c>
      <c r="E3" s="2" t="s">
        <v>85</v>
      </c>
      <c r="F3" s="2" t="s">
        <v>86</v>
      </c>
      <c r="G3" s="2" t="s">
        <v>87</v>
      </c>
      <c r="H3" s="8" t="s">
        <v>88</v>
      </c>
      <c r="I3" t="s">
        <v>74</v>
      </c>
      <c r="J3" t="s">
        <v>75</v>
      </c>
      <c r="K3" t="s">
        <v>76</v>
      </c>
      <c r="L3" t="s">
        <v>77</v>
      </c>
      <c r="M3" t="s">
        <v>78</v>
      </c>
      <c r="N3" t="s">
        <v>79</v>
      </c>
      <c r="O3" t="s">
        <v>80</v>
      </c>
      <c r="P3" t="s">
        <v>81</v>
      </c>
      <c r="Q3" s="7" t="s">
        <v>82</v>
      </c>
      <c r="R3" s="3" t="s">
        <v>89</v>
      </c>
      <c r="S3" s="3" t="s">
        <v>90</v>
      </c>
      <c r="T3" s="3" t="s">
        <v>91</v>
      </c>
      <c r="U3" s="3" t="s">
        <v>92</v>
      </c>
      <c r="V3" s="3" t="s">
        <v>93</v>
      </c>
      <c r="W3" s="3" t="s">
        <v>94</v>
      </c>
      <c r="X3" s="3" t="s">
        <v>95</v>
      </c>
      <c r="Y3" s="3" t="s">
        <v>96</v>
      </c>
      <c r="Z3" s="3" t="s">
        <v>97</v>
      </c>
    </row>
    <row r="4" spans="1:26" x14ac:dyDescent="0.2">
      <c r="A4" t="s">
        <v>26</v>
      </c>
      <c r="B4" t="s">
        <v>27</v>
      </c>
      <c r="C4" s="1">
        <v>39764022.872000001</v>
      </c>
      <c r="D4" s="1">
        <v>32325176.872000001</v>
      </c>
      <c r="E4" s="1">
        <v>41442710.872000001</v>
      </c>
      <c r="F4" s="1">
        <v>45329806.872000001</v>
      </c>
      <c r="G4" s="1">
        <v>38486806.872000001</v>
      </c>
      <c r="H4" s="9">
        <v>25919980.872000001</v>
      </c>
      <c r="I4" s="1">
        <v>18937864.872000001</v>
      </c>
      <c r="J4" s="1">
        <v>27780002.872000001</v>
      </c>
      <c r="K4" s="1">
        <v>25989384.872000001</v>
      </c>
      <c r="L4" s="1">
        <v>18117266.872000001</v>
      </c>
      <c r="M4" s="1">
        <v>19374810.872000001</v>
      </c>
      <c r="N4" s="1">
        <v>20894250.872000001</v>
      </c>
      <c r="O4" s="1">
        <v>15024866.872</v>
      </c>
      <c r="P4" s="1">
        <v>18020992.872000001</v>
      </c>
      <c r="Q4" s="9">
        <v>17893788.872000001</v>
      </c>
      <c r="R4" s="1">
        <v>39149682.872000001</v>
      </c>
      <c r="S4" s="1">
        <v>37380278.872000001</v>
      </c>
      <c r="T4" s="1">
        <v>35008642.872000001</v>
      </c>
      <c r="U4" s="1">
        <v>50450334.872000001</v>
      </c>
      <c r="V4" s="1">
        <v>37528878.872000001</v>
      </c>
      <c r="W4" s="1">
        <v>47405478.872000001</v>
      </c>
      <c r="X4" s="1">
        <v>24782092.872000001</v>
      </c>
      <c r="Y4" s="1">
        <v>23076524.872000001</v>
      </c>
      <c r="Z4" s="1">
        <v>25500216.872000001</v>
      </c>
    </row>
    <row r="5" spans="1:26" x14ac:dyDescent="0.2">
      <c r="A5" t="s">
        <v>28</v>
      </c>
      <c r="B5" t="s">
        <v>29</v>
      </c>
      <c r="C5" s="1">
        <v>16552203.584000001</v>
      </c>
      <c r="D5" s="1">
        <v>17279737.583999999</v>
      </c>
      <c r="E5" s="1">
        <v>13391951.584000001</v>
      </c>
      <c r="F5" s="1">
        <v>16517418.584000001</v>
      </c>
      <c r="G5" s="1">
        <v>16309460.584000001</v>
      </c>
      <c r="H5" s="9">
        <v>12203674.584000001</v>
      </c>
      <c r="I5" s="1">
        <v>14888327.584000001</v>
      </c>
      <c r="J5" s="1">
        <v>25584841.583999999</v>
      </c>
      <c r="K5" s="1">
        <v>25137897.583999999</v>
      </c>
      <c r="L5" s="1">
        <v>9333355.5840000007</v>
      </c>
      <c r="M5" s="1">
        <v>13188168.584000001</v>
      </c>
      <c r="N5" s="1">
        <v>12652846.584000001</v>
      </c>
      <c r="O5" s="1">
        <v>12033187.584000001</v>
      </c>
      <c r="P5" s="1">
        <v>26994213.583999999</v>
      </c>
      <c r="Q5" s="9">
        <v>11881642.584000001</v>
      </c>
      <c r="R5" s="1">
        <v>17006349.583999999</v>
      </c>
      <c r="S5" s="1">
        <v>20742435.583999999</v>
      </c>
      <c r="T5" s="1">
        <v>18311103.583999999</v>
      </c>
      <c r="U5" s="1">
        <v>28235453.583999999</v>
      </c>
      <c r="V5" s="1">
        <v>19029191.583999999</v>
      </c>
      <c r="W5" s="1">
        <v>19745403.583999999</v>
      </c>
      <c r="X5" s="1">
        <v>13347627.584000001</v>
      </c>
      <c r="Y5" s="1">
        <v>15898672.584000001</v>
      </c>
      <c r="Z5" s="1">
        <v>16763819.584000001</v>
      </c>
    </row>
    <row r="6" spans="1:26" x14ac:dyDescent="0.2">
      <c r="A6" t="s">
        <v>30</v>
      </c>
      <c r="B6" t="s">
        <v>31</v>
      </c>
      <c r="C6" s="1">
        <v>10740878.890000001</v>
      </c>
      <c r="D6" s="1">
        <v>11517948.890000001</v>
      </c>
      <c r="E6" s="1">
        <v>6628113.8899999997</v>
      </c>
      <c r="F6" s="1">
        <v>7973855.8899999997</v>
      </c>
      <c r="G6" s="1">
        <v>15154227.890000001</v>
      </c>
      <c r="H6" s="9">
        <v>7141639.8899999997</v>
      </c>
      <c r="I6" s="1">
        <v>8005654.3899999997</v>
      </c>
      <c r="J6" s="1">
        <v>8421409.8900000006</v>
      </c>
      <c r="K6" s="1">
        <v>7805905.3899999997</v>
      </c>
      <c r="L6" s="1">
        <v>6901861.3899999997</v>
      </c>
      <c r="M6" s="1">
        <v>5831892.3899999997</v>
      </c>
      <c r="N6" s="1">
        <v>6807701.3899999997</v>
      </c>
      <c r="O6" s="1">
        <v>4939948.8899999997</v>
      </c>
      <c r="P6" s="1">
        <v>8881981.8900000006</v>
      </c>
      <c r="Q6" s="9">
        <v>5248797.3899999997</v>
      </c>
      <c r="R6" s="1">
        <v>9385436.8900000006</v>
      </c>
      <c r="S6" s="1">
        <v>9064051.8900000006</v>
      </c>
      <c r="T6" s="1">
        <v>8967280.8900000006</v>
      </c>
      <c r="U6" s="1">
        <v>10623313.890000001</v>
      </c>
      <c r="V6" s="1">
        <v>7435852.3899999997</v>
      </c>
      <c r="W6" s="1">
        <v>8407929.8900000006</v>
      </c>
      <c r="X6" s="1">
        <v>7575070.3899999997</v>
      </c>
      <c r="Y6" s="1">
        <v>7061699.8899999997</v>
      </c>
      <c r="Z6" s="1">
        <v>7004582.3899999997</v>
      </c>
    </row>
    <row r="7" spans="1:26" x14ac:dyDescent="0.2">
      <c r="A7" s="4" t="s">
        <v>32</v>
      </c>
      <c r="B7" s="4" t="s">
        <v>33</v>
      </c>
      <c r="C7" s="5">
        <v>409964133.5</v>
      </c>
      <c r="D7" s="5">
        <v>395652645.5</v>
      </c>
      <c r="E7" s="5">
        <v>407913381.5</v>
      </c>
      <c r="F7" s="5">
        <v>378122277.5</v>
      </c>
      <c r="G7" s="5">
        <v>354986693.5</v>
      </c>
      <c r="H7" s="10">
        <v>271060581.5</v>
      </c>
      <c r="I7" s="5">
        <v>338216261.5</v>
      </c>
      <c r="J7" s="5">
        <v>519039205.5</v>
      </c>
      <c r="K7" s="5">
        <v>311063525.5</v>
      </c>
      <c r="L7" s="5">
        <v>266144165.5</v>
      </c>
      <c r="M7" s="5">
        <v>244972741.5</v>
      </c>
      <c r="N7" s="5">
        <v>257810533.5</v>
      </c>
      <c r="O7" s="5">
        <v>245879445.5</v>
      </c>
      <c r="P7" s="5">
        <v>191005189.5</v>
      </c>
      <c r="Q7" s="10">
        <v>233242069.5</v>
      </c>
      <c r="R7" s="5">
        <v>513485221.5</v>
      </c>
      <c r="S7" s="5">
        <v>592636421.5</v>
      </c>
      <c r="T7" s="5">
        <v>436918629.5</v>
      </c>
      <c r="U7" s="5">
        <v>470794405.5</v>
      </c>
      <c r="V7" s="5">
        <v>355501541.5</v>
      </c>
      <c r="W7" s="5">
        <v>472627653.5</v>
      </c>
      <c r="X7" s="5">
        <v>295605605.5</v>
      </c>
      <c r="Y7" s="5">
        <v>318808933.5</v>
      </c>
      <c r="Z7" s="5">
        <v>311532229.5</v>
      </c>
    </row>
    <row r="8" spans="1:26" x14ac:dyDescent="0.2">
      <c r="A8" t="s">
        <v>34</v>
      </c>
      <c r="B8" t="s">
        <v>35</v>
      </c>
      <c r="C8" s="1">
        <v>204107227.822</v>
      </c>
      <c r="D8" s="1">
        <v>199640427.822</v>
      </c>
      <c r="E8" s="1">
        <v>197537451.822</v>
      </c>
      <c r="F8" s="1">
        <v>221636443.822</v>
      </c>
      <c r="G8" s="1">
        <v>132849691.822</v>
      </c>
      <c r="H8" s="9">
        <v>134085171.822</v>
      </c>
      <c r="I8" s="1">
        <v>122706499.822</v>
      </c>
      <c r="J8" s="1">
        <v>168119627.822</v>
      </c>
      <c r="K8" s="1">
        <v>129381563.822</v>
      </c>
      <c r="L8" s="1">
        <v>111012155.822</v>
      </c>
      <c r="M8" s="1">
        <v>105029395.822</v>
      </c>
      <c r="N8" s="1">
        <v>80523067.821999997</v>
      </c>
      <c r="O8" s="1">
        <v>81057163.821999997</v>
      </c>
      <c r="P8" s="1">
        <v>121353251.822</v>
      </c>
      <c r="Q8" s="9">
        <v>87567443.821999997</v>
      </c>
      <c r="R8" s="1">
        <v>343687387.82200003</v>
      </c>
      <c r="S8" s="1">
        <v>359066875.82200003</v>
      </c>
      <c r="T8" s="1">
        <v>309237787.82200003</v>
      </c>
      <c r="U8" s="1">
        <v>373217979.82200003</v>
      </c>
      <c r="V8" s="1">
        <v>277249819.82200003</v>
      </c>
      <c r="W8" s="1">
        <v>333886427.82200003</v>
      </c>
      <c r="X8" s="1">
        <v>197464155.822</v>
      </c>
      <c r="Y8" s="1">
        <v>200206347.822</v>
      </c>
      <c r="Z8" s="1">
        <v>248161563.822</v>
      </c>
    </row>
    <row r="9" spans="1:26" x14ac:dyDescent="0.2">
      <c r="A9" t="s">
        <v>36</v>
      </c>
      <c r="B9" t="s">
        <v>37</v>
      </c>
      <c r="C9" s="1">
        <v>8494119</v>
      </c>
      <c r="D9" s="1">
        <v>8156626.5</v>
      </c>
      <c r="E9" s="1">
        <v>5722464</v>
      </c>
      <c r="F9" s="1">
        <v>6333784.5</v>
      </c>
      <c r="G9" s="1">
        <v>7033794</v>
      </c>
      <c r="H9" s="9">
        <v>5954754</v>
      </c>
      <c r="I9" s="1">
        <v>7246269.5</v>
      </c>
      <c r="J9" s="1">
        <v>9281520</v>
      </c>
      <c r="K9" s="1">
        <v>7377845.5</v>
      </c>
      <c r="L9" s="1">
        <v>4614005.5</v>
      </c>
      <c r="M9" s="1">
        <v>4516113.5</v>
      </c>
      <c r="N9" s="1">
        <v>4304116</v>
      </c>
      <c r="O9" s="1">
        <v>5281846</v>
      </c>
      <c r="P9" s="1">
        <v>7628975.5</v>
      </c>
      <c r="Q9" s="9">
        <v>5274179.5</v>
      </c>
      <c r="R9" s="1">
        <v>9434982</v>
      </c>
      <c r="S9" s="1">
        <v>10967410</v>
      </c>
      <c r="T9" s="1">
        <v>9294511</v>
      </c>
      <c r="U9" s="1">
        <v>9500152</v>
      </c>
      <c r="V9" s="1">
        <v>8158984</v>
      </c>
      <c r="W9" s="1">
        <v>9234182</v>
      </c>
      <c r="X9" s="1">
        <v>6345404</v>
      </c>
      <c r="Y9" s="1">
        <v>6139566</v>
      </c>
      <c r="Z9" s="1">
        <v>6911818.5</v>
      </c>
    </row>
    <row r="10" spans="1:26" x14ac:dyDescent="0.2">
      <c r="A10" t="s">
        <v>38</v>
      </c>
      <c r="B10" t="s">
        <v>39</v>
      </c>
      <c r="C10" s="1">
        <v>8445142.8560000006</v>
      </c>
      <c r="D10" s="1">
        <v>6829496.3559999997</v>
      </c>
      <c r="E10" s="1">
        <v>4679463.3559999997</v>
      </c>
      <c r="F10" s="1">
        <v>5803223.3559999997</v>
      </c>
      <c r="G10" s="1">
        <v>6734924.3559999997</v>
      </c>
      <c r="H10" s="9">
        <v>4629938.3559999997</v>
      </c>
      <c r="I10" s="1">
        <v>5087384.3559999997</v>
      </c>
      <c r="J10" s="1">
        <v>6704383.3559999997</v>
      </c>
      <c r="K10" s="1">
        <v>4937324.3559999997</v>
      </c>
      <c r="L10" s="1">
        <v>3315725.1060000001</v>
      </c>
      <c r="M10" s="1">
        <v>2844889.8560000001</v>
      </c>
      <c r="N10" s="1">
        <v>3474649.1060000001</v>
      </c>
      <c r="O10" s="1">
        <v>3348378.1060000001</v>
      </c>
      <c r="P10" s="1">
        <v>2763118.6060000001</v>
      </c>
      <c r="Q10" s="9">
        <v>4174829.8560000001</v>
      </c>
      <c r="R10" s="1">
        <v>5689969.8559999997</v>
      </c>
      <c r="S10" s="1">
        <v>9357072.8560000006</v>
      </c>
      <c r="T10" s="1">
        <v>4107021.8560000001</v>
      </c>
      <c r="U10" s="1">
        <v>5523084.3559999997</v>
      </c>
      <c r="V10" s="1">
        <v>4688061.8559999997</v>
      </c>
      <c r="W10" s="1">
        <v>4430539.8559999997</v>
      </c>
      <c r="X10" s="1">
        <v>4234230.8559999997</v>
      </c>
      <c r="Y10" s="1">
        <v>4162710.3560000001</v>
      </c>
      <c r="Z10" s="1">
        <v>3450861.6060000001</v>
      </c>
    </row>
    <row r="11" spans="1:26" x14ac:dyDescent="0.2">
      <c r="A11" t="s">
        <v>40</v>
      </c>
      <c r="B11" t="s">
        <v>41</v>
      </c>
      <c r="C11" s="1">
        <v>10365134.177999999</v>
      </c>
      <c r="D11" s="1">
        <v>8670302.1779999994</v>
      </c>
      <c r="E11" s="1">
        <v>7528159.1780000003</v>
      </c>
      <c r="F11" s="1">
        <v>7553210.6780000003</v>
      </c>
      <c r="G11" s="1">
        <v>7134887.1780000003</v>
      </c>
      <c r="H11" s="9">
        <v>6378228.6780000003</v>
      </c>
      <c r="I11" s="1">
        <v>6898841.6780000003</v>
      </c>
      <c r="J11" s="1">
        <v>8238039.6780000003</v>
      </c>
      <c r="K11" s="1">
        <v>8278696.6780000003</v>
      </c>
      <c r="L11" s="1">
        <v>5397571.1780000003</v>
      </c>
      <c r="M11" s="1">
        <v>5349335.6780000003</v>
      </c>
      <c r="N11" s="1">
        <v>5096449.1780000003</v>
      </c>
      <c r="O11" s="1">
        <v>4850881.6780000003</v>
      </c>
      <c r="P11" s="1">
        <v>5062950.6780000003</v>
      </c>
      <c r="Q11" s="9">
        <v>5399430.6780000003</v>
      </c>
      <c r="R11" s="1">
        <v>13143675.177999999</v>
      </c>
      <c r="S11" s="1">
        <v>11635654.177999999</v>
      </c>
      <c r="T11" s="1">
        <v>11427908.177999999</v>
      </c>
      <c r="U11" s="1">
        <v>13555390.177999999</v>
      </c>
      <c r="V11" s="1">
        <v>9724256.1779999994</v>
      </c>
      <c r="W11" s="1">
        <v>9227534.1779999994</v>
      </c>
      <c r="X11" s="1">
        <v>6685193.6780000003</v>
      </c>
      <c r="Y11" s="1">
        <v>6632577.6780000003</v>
      </c>
      <c r="Z11" s="1">
        <v>7883521.6780000003</v>
      </c>
    </row>
    <row r="12" spans="1:26" x14ac:dyDescent="0.2">
      <c r="A12" t="s">
        <v>42</v>
      </c>
      <c r="B12" t="s">
        <v>43</v>
      </c>
      <c r="C12" s="1">
        <v>133593682.84999999</v>
      </c>
      <c r="D12" s="1">
        <v>164556850.84999999</v>
      </c>
      <c r="E12" s="1">
        <v>136541730.84999999</v>
      </c>
      <c r="F12" s="1">
        <v>149782818.84999999</v>
      </c>
      <c r="G12" s="1">
        <v>135385042.84999999</v>
      </c>
      <c r="H12" s="9">
        <v>113735506.84999999</v>
      </c>
      <c r="I12" s="1">
        <v>167030610.84999999</v>
      </c>
      <c r="J12" s="1">
        <v>381244978.85000002</v>
      </c>
      <c r="K12" s="1">
        <v>201050338.84999999</v>
      </c>
      <c r="L12" s="1">
        <v>124900114.84999999</v>
      </c>
      <c r="M12" s="1">
        <v>134586018.84999999</v>
      </c>
      <c r="N12" s="1">
        <v>145040914.84999999</v>
      </c>
      <c r="O12" s="1">
        <v>133270658.84999999</v>
      </c>
      <c r="P12" s="1">
        <v>90153258.849999994</v>
      </c>
      <c r="Q12" s="9">
        <v>138983186.84999999</v>
      </c>
      <c r="R12" s="1">
        <v>107113298.84999999</v>
      </c>
      <c r="S12" s="1">
        <v>291757810.85000002</v>
      </c>
      <c r="T12" s="1">
        <v>84274682.849999994</v>
      </c>
      <c r="U12" s="1">
        <v>100523290.84999999</v>
      </c>
      <c r="V12" s="1">
        <v>77527986.849999994</v>
      </c>
      <c r="W12" s="1">
        <v>102162170.84999999</v>
      </c>
      <c r="X12" s="1">
        <v>67713642.849999994</v>
      </c>
      <c r="Y12" s="1">
        <v>80676506.849999994</v>
      </c>
      <c r="Z12" s="1">
        <v>69444410.849999994</v>
      </c>
    </row>
    <row r="13" spans="1:26" x14ac:dyDescent="0.2">
      <c r="A13" s="4" t="s">
        <v>44</v>
      </c>
      <c r="B13" s="4" t="s">
        <v>45</v>
      </c>
      <c r="C13" s="5">
        <v>1248188780.6700001</v>
      </c>
      <c r="D13" s="5">
        <v>1010147244.67</v>
      </c>
      <c r="E13" s="5">
        <v>951535276.66999996</v>
      </c>
      <c r="F13" s="5">
        <v>990135596.66999996</v>
      </c>
      <c r="G13" s="5">
        <v>848172588.66999996</v>
      </c>
      <c r="H13" s="10">
        <v>724158700.66999996</v>
      </c>
      <c r="I13" s="5">
        <v>946594988.66999996</v>
      </c>
      <c r="J13" s="5">
        <v>1246586732.6700001</v>
      </c>
      <c r="K13" s="5">
        <v>1086111340.6700001</v>
      </c>
      <c r="L13" s="5">
        <v>939654636.66999996</v>
      </c>
      <c r="M13" s="5">
        <v>798011308.66999996</v>
      </c>
      <c r="N13" s="5">
        <v>819609388.66999996</v>
      </c>
      <c r="O13" s="5">
        <v>741218732.66999996</v>
      </c>
      <c r="P13" s="5">
        <v>657201708.66999996</v>
      </c>
      <c r="Q13" s="10">
        <v>855907052.66999996</v>
      </c>
      <c r="R13" s="5">
        <v>1495818732.6700001</v>
      </c>
      <c r="S13" s="5">
        <v>1795255916.6700001</v>
      </c>
      <c r="T13" s="5">
        <v>1307888876.6700001</v>
      </c>
      <c r="U13" s="5">
        <v>1590234732.6700001</v>
      </c>
      <c r="V13" s="5">
        <v>1272845548.6700001</v>
      </c>
      <c r="W13" s="5">
        <v>1506787436.6700001</v>
      </c>
      <c r="X13" s="5">
        <v>887811372.66999996</v>
      </c>
      <c r="Y13" s="5">
        <v>1116173292.6700001</v>
      </c>
      <c r="Z13" s="5">
        <v>1078217708.6700001</v>
      </c>
    </row>
    <row r="14" spans="1:26" x14ac:dyDescent="0.2">
      <c r="A14" s="4" t="s">
        <v>46</v>
      </c>
      <c r="B14" s="4" t="s">
        <v>47</v>
      </c>
      <c r="C14" s="5">
        <v>1170805991.102</v>
      </c>
      <c r="D14" s="5">
        <v>1093447911.102</v>
      </c>
      <c r="E14" s="5">
        <v>785138855.102</v>
      </c>
      <c r="F14" s="5">
        <v>783202983.102</v>
      </c>
      <c r="G14" s="5">
        <v>861941031.102</v>
      </c>
      <c r="H14" s="10">
        <v>806176295.102</v>
      </c>
      <c r="I14" s="5">
        <v>641293543.102</v>
      </c>
      <c r="J14" s="5">
        <v>745547815.102</v>
      </c>
      <c r="K14" s="5">
        <v>719135655.102</v>
      </c>
      <c r="L14" s="5">
        <v>498918023.102</v>
      </c>
      <c r="M14" s="5">
        <v>470539879.102</v>
      </c>
      <c r="N14" s="5">
        <v>480189671.102</v>
      </c>
      <c r="O14" s="5">
        <v>470798087.102</v>
      </c>
      <c r="P14" s="5">
        <v>468588551.102</v>
      </c>
      <c r="Q14" s="10">
        <v>489426279.102</v>
      </c>
      <c r="R14" s="5">
        <v>1121357543.102</v>
      </c>
      <c r="S14" s="5">
        <v>1243183975.102</v>
      </c>
      <c r="T14" s="5">
        <v>1102910183.102</v>
      </c>
      <c r="U14" s="5">
        <v>1097730151.102</v>
      </c>
      <c r="V14" s="5">
        <v>895338215.102</v>
      </c>
      <c r="W14" s="5">
        <v>1071032103.102</v>
      </c>
      <c r="X14" s="5">
        <v>672598887.102</v>
      </c>
      <c r="Y14" s="5">
        <v>735166887.102</v>
      </c>
      <c r="Z14" s="5">
        <v>765719015.102</v>
      </c>
    </row>
    <row r="15" spans="1:26" x14ac:dyDescent="0.2">
      <c r="A15" t="s">
        <v>48</v>
      </c>
      <c r="B15" t="s">
        <v>49</v>
      </c>
      <c r="C15" s="1">
        <v>124875367.818</v>
      </c>
      <c r="D15" s="1">
        <v>128587239.818</v>
      </c>
      <c r="E15" s="1">
        <v>94145055.818000004</v>
      </c>
      <c r="F15" s="1">
        <v>89878199.818000004</v>
      </c>
      <c r="G15" s="1">
        <v>88388295.818000004</v>
      </c>
      <c r="H15" s="9">
        <v>80023223.818000004</v>
      </c>
      <c r="I15" s="1">
        <v>51866415.818000004</v>
      </c>
      <c r="J15" s="1">
        <v>48610815.818000004</v>
      </c>
      <c r="K15" s="1">
        <v>59395743.818000004</v>
      </c>
      <c r="L15" s="1">
        <v>39450211.818000004</v>
      </c>
      <c r="M15" s="1">
        <v>41643655.818000004</v>
      </c>
      <c r="N15" s="1">
        <v>44746699.818000004</v>
      </c>
      <c r="O15" s="1">
        <v>38067867.818000004</v>
      </c>
      <c r="P15" s="1">
        <v>41283863.818000004</v>
      </c>
      <c r="Q15" s="9">
        <v>35243403.818000004</v>
      </c>
      <c r="R15" s="1">
        <v>129363431.818</v>
      </c>
      <c r="S15" s="1">
        <v>108602343.818</v>
      </c>
      <c r="T15" s="1">
        <v>121451479.818</v>
      </c>
      <c r="U15" s="1">
        <v>108934295.818</v>
      </c>
      <c r="V15" s="1">
        <v>98973015.818000004</v>
      </c>
      <c r="W15" s="1">
        <v>119020999.818</v>
      </c>
      <c r="X15" s="1">
        <v>72830567.818000004</v>
      </c>
      <c r="Y15" s="1">
        <v>66261547.818000004</v>
      </c>
      <c r="Z15" s="1">
        <v>72667039.818000004</v>
      </c>
    </row>
    <row r="16" spans="1:26" x14ac:dyDescent="0.2">
      <c r="A16" t="s">
        <v>50</v>
      </c>
      <c r="B16" t="s">
        <v>51</v>
      </c>
      <c r="C16" s="1">
        <v>6501202.5</v>
      </c>
      <c r="D16" s="1">
        <v>6494757.5</v>
      </c>
      <c r="E16" s="1">
        <v>3747154.75</v>
      </c>
      <c r="F16" s="1">
        <v>4357541.5</v>
      </c>
      <c r="G16" s="1">
        <v>5370976.5</v>
      </c>
      <c r="H16" s="9">
        <v>3657379</v>
      </c>
      <c r="I16" s="1">
        <v>628235.68999999994</v>
      </c>
      <c r="J16" s="1">
        <v>1354762.62</v>
      </c>
      <c r="K16" s="1">
        <v>1670969.38</v>
      </c>
      <c r="L16" s="1">
        <v>648904.06000000006</v>
      </c>
      <c r="M16" s="1">
        <v>594508.06000000006</v>
      </c>
      <c r="N16" s="1">
        <v>648108.38</v>
      </c>
      <c r="O16" s="1">
        <v>510190.38</v>
      </c>
      <c r="P16" s="1">
        <v>774433.5</v>
      </c>
      <c r="Q16" s="9">
        <v>478627.75</v>
      </c>
      <c r="R16" s="1">
        <v>4178982.75</v>
      </c>
      <c r="S16" s="1">
        <v>3571504.75</v>
      </c>
      <c r="T16" s="1">
        <v>3985127.25</v>
      </c>
      <c r="U16" s="1">
        <v>5102860.5</v>
      </c>
      <c r="V16" s="1">
        <v>3034117.25</v>
      </c>
      <c r="W16" s="1">
        <v>4635708.5</v>
      </c>
      <c r="X16" s="1">
        <v>2763804.75</v>
      </c>
      <c r="Y16" s="1">
        <v>2320635</v>
      </c>
      <c r="Z16" s="1">
        <v>2848066.75</v>
      </c>
    </row>
    <row r="17" spans="1:26" x14ac:dyDescent="0.2">
      <c r="A17" t="s">
        <v>52</v>
      </c>
      <c r="B17" t="s">
        <v>53</v>
      </c>
      <c r="C17" s="1">
        <v>2407292.0920000002</v>
      </c>
      <c r="D17" s="1">
        <v>3965941.8420000002</v>
      </c>
      <c r="E17" s="1">
        <v>1668746.9620000001</v>
      </c>
      <c r="F17" s="1">
        <v>2144959.0920000002</v>
      </c>
      <c r="G17" s="1">
        <v>2971025.8420000002</v>
      </c>
      <c r="H17" s="9">
        <v>2291253.8420000002</v>
      </c>
      <c r="I17" s="1">
        <v>1425464.7219999998</v>
      </c>
      <c r="J17" s="1">
        <v>1494218.9620000001</v>
      </c>
      <c r="K17" s="1">
        <v>934575.34199999995</v>
      </c>
      <c r="L17" s="1">
        <v>821403.03199999989</v>
      </c>
      <c r="M17" s="1">
        <v>1149440.7219999998</v>
      </c>
      <c r="N17" s="1">
        <v>697168.902</v>
      </c>
      <c r="O17" s="1">
        <v>816442.152</v>
      </c>
      <c r="P17" s="1">
        <v>737174.78199999989</v>
      </c>
      <c r="Q17" s="9">
        <v>1197062.3419999999</v>
      </c>
      <c r="R17" s="1">
        <v>1003273.2219999998</v>
      </c>
      <c r="S17" s="1">
        <v>1807529.4620000001</v>
      </c>
      <c r="T17" s="1">
        <v>425057.00199999998</v>
      </c>
      <c r="U17" s="1">
        <v>867357.28199999989</v>
      </c>
      <c r="V17" s="1">
        <v>699568.03199999989</v>
      </c>
      <c r="W17" s="1">
        <v>634927.59199999995</v>
      </c>
      <c r="X17" s="1">
        <v>848615.59199999995</v>
      </c>
      <c r="Y17" s="1">
        <v>747422.652</v>
      </c>
      <c r="Z17" s="1">
        <v>941247.53199999989</v>
      </c>
    </row>
    <row r="18" spans="1:26" x14ac:dyDescent="0.2">
      <c r="A18" t="s">
        <v>54</v>
      </c>
      <c r="B18" t="s">
        <v>55</v>
      </c>
      <c r="C18" s="1">
        <v>7435991.7939999998</v>
      </c>
      <c r="D18" s="1">
        <v>5337999.2939999998</v>
      </c>
      <c r="E18" s="1">
        <v>4238194.7939999998</v>
      </c>
      <c r="F18" s="1">
        <v>4921211.2939999998</v>
      </c>
      <c r="G18" s="1">
        <v>5776473.7939999998</v>
      </c>
      <c r="H18" s="9">
        <v>4280753.7939999998</v>
      </c>
      <c r="I18" s="1">
        <v>2998515.2940000002</v>
      </c>
      <c r="J18" s="1">
        <v>3175065.2940000002</v>
      </c>
      <c r="K18" s="1">
        <v>3232218.5440000002</v>
      </c>
      <c r="L18" s="1">
        <v>2413537.0440000002</v>
      </c>
      <c r="M18" s="1">
        <v>2420586.2940000002</v>
      </c>
      <c r="N18" s="1">
        <v>2520886.2940000002</v>
      </c>
      <c r="O18" s="1">
        <v>2490185.5440000002</v>
      </c>
      <c r="P18" s="1">
        <v>2084256.794</v>
      </c>
      <c r="Q18" s="9">
        <v>2330806.5440000002</v>
      </c>
      <c r="R18" s="1">
        <v>3939989.5440000002</v>
      </c>
      <c r="S18" s="1">
        <v>5241706.2939999998</v>
      </c>
      <c r="T18" s="1">
        <v>2736593.2940000002</v>
      </c>
      <c r="U18" s="1">
        <v>3858506.2940000002</v>
      </c>
      <c r="V18" s="1">
        <v>2928127.2940000002</v>
      </c>
      <c r="W18" s="1">
        <v>2800129.2940000002</v>
      </c>
      <c r="X18" s="1">
        <v>3112898.5440000002</v>
      </c>
      <c r="Y18" s="1">
        <v>3039871.2940000002</v>
      </c>
      <c r="Z18" s="1">
        <v>2849966.0440000002</v>
      </c>
    </row>
    <row r="19" spans="1:26" x14ac:dyDescent="0.2">
      <c r="A19" t="s">
        <v>56</v>
      </c>
      <c r="B19" t="s">
        <v>57</v>
      </c>
      <c r="C19" s="1">
        <v>6760825.5439999998</v>
      </c>
      <c r="D19" s="1">
        <v>10236846.044</v>
      </c>
      <c r="E19" s="1">
        <v>4783593.5439999998</v>
      </c>
      <c r="F19" s="1">
        <v>5398526.5439999998</v>
      </c>
      <c r="G19" s="1">
        <v>6455620.5439999998</v>
      </c>
      <c r="H19" s="9">
        <v>5870548.5439999998</v>
      </c>
      <c r="I19" s="1">
        <v>3481561.2939999998</v>
      </c>
      <c r="J19" s="1">
        <v>5968776.5439999998</v>
      </c>
      <c r="K19" s="1">
        <v>3912134.7939999998</v>
      </c>
      <c r="L19" s="1">
        <v>2092733.544</v>
      </c>
      <c r="M19" s="1">
        <v>2990365.7939999998</v>
      </c>
      <c r="N19" s="1">
        <v>3410600.7939999998</v>
      </c>
      <c r="O19" s="1">
        <v>2095411.794</v>
      </c>
      <c r="P19" s="1">
        <v>2273733.0439999998</v>
      </c>
      <c r="Q19" s="9">
        <v>2798442.7939999998</v>
      </c>
      <c r="R19" s="1">
        <v>1734277.4239999999</v>
      </c>
      <c r="S19" s="1">
        <v>4732847.5439999998</v>
      </c>
      <c r="T19" s="1">
        <v>1093656.044</v>
      </c>
      <c r="U19" s="1">
        <v>1761244.6640000001</v>
      </c>
      <c r="V19" s="1">
        <v>1320700.4239999999</v>
      </c>
      <c r="W19" s="1">
        <v>1664943.9239999999</v>
      </c>
      <c r="X19" s="1">
        <v>1387721.9239999999</v>
      </c>
      <c r="Y19" s="1">
        <v>1252685.044</v>
      </c>
      <c r="Z19" s="1">
        <v>1473330.1640000001</v>
      </c>
    </row>
    <row r="20" spans="1:26" x14ac:dyDescent="0.2">
      <c r="A20" t="s">
        <v>58</v>
      </c>
      <c r="B20" t="s">
        <v>59</v>
      </c>
      <c r="C20" s="1">
        <v>50433226.649999999</v>
      </c>
      <c r="D20" s="1">
        <v>51869118.649999999</v>
      </c>
      <c r="E20" s="1">
        <v>34769158.649999999</v>
      </c>
      <c r="F20" s="1">
        <v>34305306.649999999</v>
      </c>
      <c r="G20" s="1">
        <v>38584910.649999999</v>
      </c>
      <c r="H20" s="9">
        <v>30059426.649999999</v>
      </c>
      <c r="I20" s="1">
        <v>29941232.649999999</v>
      </c>
      <c r="J20" s="1">
        <v>22760596.649999999</v>
      </c>
      <c r="K20" s="1">
        <v>27813994.649999999</v>
      </c>
      <c r="L20" s="1">
        <v>22009228.649999999</v>
      </c>
      <c r="M20" s="1">
        <v>21043874.649999999</v>
      </c>
      <c r="N20" s="1">
        <v>20767642.649999999</v>
      </c>
      <c r="O20" s="1">
        <v>18724970.649999999</v>
      </c>
      <c r="P20" s="1">
        <v>16209515.65</v>
      </c>
      <c r="Q20" s="9">
        <v>27371250.649999999</v>
      </c>
      <c r="R20" s="1">
        <v>23719820.649999999</v>
      </c>
      <c r="S20" s="1">
        <v>32799980.649999999</v>
      </c>
      <c r="T20" s="1">
        <v>19500710.649999999</v>
      </c>
      <c r="U20" s="1">
        <v>26537712.649999999</v>
      </c>
      <c r="V20" s="1">
        <v>24469714.649999999</v>
      </c>
      <c r="W20" s="1">
        <v>31684690.649999999</v>
      </c>
      <c r="X20" s="1">
        <v>17171998.649999999</v>
      </c>
      <c r="Y20" s="1">
        <v>19812652.649999999</v>
      </c>
      <c r="Z20" s="1">
        <v>20342784.649999999</v>
      </c>
    </row>
    <row r="21" spans="1:26" x14ac:dyDescent="0.2">
      <c r="A21" t="s">
        <v>60</v>
      </c>
      <c r="B21" t="s">
        <v>61</v>
      </c>
      <c r="C21" s="1">
        <v>24662482</v>
      </c>
      <c r="D21" s="1">
        <v>28088046</v>
      </c>
      <c r="E21" s="1">
        <v>17784486</v>
      </c>
      <c r="F21" s="1">
        <v>17811320</v>
      </c>
      <c r="G21" s="1">
        <v>21966426</v>
      </c>
      <c r="H21" s="9">
        <v>18711398</v>
      </c>
      <c r="I21" s="1">
        <v>22228502</v>
      </c>
      <c r="J21" s="1">
        <v>27608326</v>
      </c>
      <c r="K21" s="1">
        <v>31048986</v>
      </c>
      <c r="L21" s="1">
        <v>19457598</v>
      </c>
      <c r="M21" s="1">
        <v>17184790</v>
      </c>
      <c r="N21" s="1">
        <v>23130752</v>
      </c>
      <c r="O21" s="1">
        <v>16961712</v>
      </c>
      <c r="P21" s="1">
        <v>19084388</v>
      </c>
      <c r="Q21" s="9">
        <v>23411576</v>
      </c>
      <c r="R21" s="1">
        <v>20867864</v>
      </c>
      <c r="S21" s="1">
        <v>30702202</v>
      </c>
      <c r="T21" s="1">
        <v>22233962</v>
      </c>
      <c r="U21" s="1">
        <v>27147046</v>
      </c>
      <c r="V21" s="1">
        <v>19543010</v>
      </c>
      <c r="W21" s="1">
        <v>25157382</v>
      </c>
      <c r="X21" s="1">
        <v>16422091</v>
      </c>
      <c r="Y21" s="1">
        <v>20164350</v>
      </c>
      <c r="Z21" s="1">
        <v>17861372</v>
      </c>
    </row>
    <row r="22" spans="1:26" x14ac:dyDescent="0.2">
      <c r="A22" t="s">
        <v>62</v>
      </c>
      <c r="B22" t="s">
        <v>63</v>
      </c>
      <c r="C22" s="1">
        <v>30752542</v>
      </c>
      <c r="D22" s="1">
        <v>32731070</v>
      </c>
      <c r="E22" s="1">
        <v>24040784</v>
      </c>
      <c r="F22" s="1">
        <v>24498594</v>
      </c>
      <c r="G22" s="1">
        <v>22819970</v>
      </c>
      <c r="H22" s="9">
        <v>24896006</v>
      </c>
      <c r="I22" s="1">
        <v>35893284</v>
      </c>
      <c r="J22" s="1">
        <v>34108416</v>
      </c>
      <c r="K22" s="1">
        <v>33568060</v>
      </c>
      <c r="L22" s="1">
        <v>29547136</v>
      </c>
      <c r="M22" s="1">
        <v>25534738</v>
      </c>
      <c r="N22" s="1">
        <v>24579678</v>
      </c>
      <c r="O22" s="1">
        <v>30293960</v>
      </c>
      <c r="P22" s="1">
        <v>26928210</v>
      </c>
      <c r="Q22" s="9">
        <v>33646396</v>
      </c>
      <c r="R22" s="1">
        <v>55268660</v>
      </c>
      <c r="S22" s="1">
        <v>67646184</v>
      </c>
      <c r="T22" s="1">
        <v>52779568</v>
      </c>
      <c r="U22" s="1">
        <v>55900256</v>
      </c>
      <c r="V22" s="1">
        <v>46888620</v>
      </c>
      <c r="W22" s="1">
        <v>59299724</v>
      </c>
      <c r="X22" s="1">
        <v>35353076</v>
      </c>
      <c r="Y22" s="1">
        <v>44363920</v>
      </c>
      <c r="Z22" s="1">
        <v>40649164</v>
      </c>
    </row>
    <row r="23" spans="1:26" x14ac:dyDescent="0.2">
      <c r="A23" s="6" t="s">
        <v>64</v>
      </c>
      <c r="B23" t="s">
        <v>65</v>
      </c>
      <c r="C23" s="1">
        <v>103480378.30599999</v>
      </c>
      <c r="D23" s="1">
        <v>120744906.30599999</v>
      </c>
      <c r="E23" s="1">
        <v>77379570.305999994</v>
      </c>
      <c r="F23" s="1">
        <v>81590546.305999994</v>
      </c>
      <c r="G23" s="1">
        <v>85422554.305999994</v>
      </c>
      <c r="H23" s="9">
        <v>85435634.305999994</v>
      </c>
      <c r="I23" s="1">
        <v>127244938.30599999</v>
      </c>
      <c r="J23" s="1">
        <v>172490626.30599999</v>
      </c>
      <c r="K23" s="1">
        <v>182981890.30599999</v>
      </c>
      <c r="L23" s="1">
        <v>114105786.30599999</v>
      </c>
      <c r="M23" s="1">
        <v>109732946.30599999</v>
      </c>
      <c r="N23" s="1">
        <v>124998866.30599999</v>
      </c>
      <c r="O23" s="1">
        <v>118125882.30599999</v>
      </c>
      <c r="P23" s="1">
        <v>115969106.30599999</v>
      </c>
      <c r="Q23" s="9">
        <v>124242874.30599999</v>
      </c>
      <c r="R23" s="1">
        <v>145482498.30599999</v>
      </c>
      <c r="S23" s="1">
        <v>205927266.30599999</v>
      </c>
      <c r="T23" s="1">
        <v>147113010.30599999</v>
      </c>
      <c r="U23" s="1">
        <v>170745810.30599999</v>
      </c>
      <c r="V23" s="1">
        <v>134732322.30599999</v>
      </c>
      <c r="W23" s="1">
        <v>152068194.30599999</v>
      </c>
      <c r="X23" s="1">
        <v>109021522.30599999</v>
      </c>
      <c r="Y23" s="1">
        <v>142210706.30599999</v>
      </c>
      <c r="Z23" s="1">
        <v>110617978.30599999</v>
      </c>
    </row>
    <row r="24" spans="1:26" x14ac:dyDescent="0.2">
      <c r="A24" t="s">
        <v>66</v>
      </c>
      <c r="B24" t="s">
        <v>67</v>
      </c>
      <c r="C24" s="1">
        <v>46152911.223999999</v>
      </c>
      <c r="D24" s="1">
        <v>38038815.223999999</v>
      </c>
      <c r="E24" s="1">
        <v>30286331.223999999</v>
      </c>
      <c r="F24" s="1">
        <v>30301259.223999999</v>
      </c>
      <c r="G24" s="1">
        <v>25608357.223999999</v>
      </c>
      <c r="H24" s="9">
        <v>21948359.223999999</v>
      </c>
      <c r="I24" s="1">
        <v>7186611.2240000004</v>
      </c>
      <c r="J24" s="1">
        <v>7762327.2240000004</v>
      </c>
      <c r="K24" s="1">
        <v>10749603.223999999</v>
      </c>
      <c r="L24" s="1">
        <v>5335575.7240000004</v>
      </c>
      <c r="M24" s="1">
        <v>4047070.4739999999</v>
      </c>
      <c r="N24" s="1">
        <v>4286295.2240000004</v>
      </c>
      <c r="O24" s="1">
        <v>4499235.7240000004</v>
      </c>
      <c r="P24" s="1">
        <v>5241884.7240000004</v>
      </c>
      <c r="Q24" s="9">
        <v>4804050.2240000004</v>
      </c>
      <c r="R24" s="1">
        <v>36651559.223999999</v>
      </c>
      <c r="S24" s="1">
        <v>38910447.223999999</v>
      </c>
      <c r="T24" s="1">
        <v>38775095.223999999</v>
      </c>
      <c r="U24" s="1">
        <v>37007247.223999999</v>
      </c>
      <c r="V24" s="1">
        <v>33922439.223999999</v>
      </c>
      <c r="W24" s="1">
        <v>44482087.223999999</v>
      </c>
      <c r="X24" s="1">
        <v>21835907.223999999</v>
      </c>
      <c r="Y24" s="1">
        <v>29630347.223999999</v>
      </c>
      <c r="Z24" s="1">
        <v>24155957.223999999</v>
      </c>
    </row>
    <row r="25" spans="1:26" x14ac:dyDescent="0.2">
      <c r="A25" t="s">
        <v>68</v>
      </c>
      <c r="B25" t="s">
        <v>69</v>
      </c>
      <c r="C25" s="1">
        <v>12753086.961999999</v>
      </c>
      <c r="D25" s="1">
        <v>15714738.961999999</v>
      </c>
      <c r="E25" s="1">
        <v>11102455.961999999</v>
      </c>
      <c r="F25" s="1">
        <v>11704577.961999999</v>
      </c>
      <c r="G25" s="1">
        <v>10948481.961999999</v>
      </c>
      <c r="H25" s="9">
        <v>11118075.961999999</v>
      </c>
      <c r="I25" s="1">
        <v>26219716.962000001</v>
      </c>
      <c r="J25" s="1">
        <v>25134960.962000001</v>
      </c>
      <c r="K25" s="1">
        <v>26066982.962000001</v>
      </c>
      <c r="L25" s="1">
        <v>23071556.962000001</v>
      </c>
      <c r="M25" s="1">
        <v>21810352.962000001</v>
      </c>
      <c r="N25" s="1">
        <v>19779308.962000001</v>
      </c>
      <c r="O25" s="1">
        <v>20157204.962000001</v>
      </c>
      <c r="P25" s="1">
        <v>17530464.962000001</v>
      </c>
      <c r="Q25" s="9">
        <v>21904996.962000001</v>
      </c>
      <c r="R25" s="1">
        <v>22049292.962000001</v>
      </c>
      <c r="S25" s="1">
        <v>29826372.962000001</v>
      </c>
      <c r="T25" s="1">
        <v>20335032.962000001</v>
      </c>
      <c r="U25" s="1">
        <v>20775636.962000001</v>
      </c>
      <c r="V25" s="1">
        <v>19599904.962000001</v>
      </c>
      <c r="W25" s="1">
        <v>25022894.962000001</v>
      </c>
      <c r="X25" s="1">
        <v>17139436.962000001</v>
      </c>
      <c r="Y25" s="1">
        <v>17636282.962000001</v>
      </c>
      <c r="Z25" s="1">
        <v>16421078.961999999</v>
      </c>
    </row>
    <row r="26" spans="1:26" x14ac:dyDescent="0.2">
      <c r="A26" t="s">
        <v>70</v>
      </c>
      <c r="B26" t="s">
        <v>71</v>
      </c>
      <c r="C26" s="1">
        <v>57155060</v>
      </c>
      <c r="D26" s="1">
        <v>52671488</v>
      </c>
      <c r="E26" s="1">
        <v>39054836</v>
      </c>
      <c r="F26" s="1">
        <v>44308232</v>
      </c>
      <c r="G26" s="1">
        <v>42568744</v>
      </c>
      <c r="H26" s="9">
        <v>44639632</v>
      </c>
      <c r="I26" s="1">
        <v>33225466</v>
      </c>
      <c r="J26" s="1">
        <v>34266364</v>
      </c>
      <c r="K26" s="1">
        <v>46478064</v>
      </c>
      <c r="L26" s="1">
        <v>28607168</v>
      </c>
      <c r="M26" s="1">
        <v>25473510</v>
      </c>
      <c r="N26" s="1">
        <v>27692712</v>
      </c>
      <c r="O26" s="1">
        <v>28629280</v>
      </c>
      <c r="P26" s="1">
        <v>31870370</v>
      </c>
      <c r="Q26" s="9">
        <v>29342680</v>
      </c>
      <c r="R26" s="1">
        <v>60770004</v>
      </c>
      <c r="S26" s="1">
        <v>83937568</v>
      </c>
      <c r="T26" s="1">
        <v>61306896</v>
      </c>
      <c r="U26" s="1">
        <v>70181080</v>
      </c>
      <c r="V26" s="1">
        <v>55963772</v>
      </c>
      <c r="W26" s="1">
        <v>78173208</v>
      </c>
      <c r="X26" s="1">
        <v>38689804</v>
      </c>
      <c r="Y26" s="1">
        <v>54267860</v>
      </c>
      <c r="Z26" s="1">
        <v>51323220</v>
      </c>
    </row>
    <row r="27" spans="1:26" x14ac:dyDescent="0.2">
      <c r="A27" s="6" t="s">
        <v>72</v>
      </c>
      <c r="B27" t="s">
        <v>73</v>
      </c>
      <c r="C27" s="1">
        <v>335374005.53399998</v>
      </c>
      <c r="D27" s="1">
        <v>356308661.53399998</v>
      </c>
      <c r="E27" s="1">
        <v>199115525.53400001</v>
      </c>
      <c r="F27" s="1">
        <v>244849317.53400001</v>
      </c>
      <c r="G27" s="1">
        <v>304418485.53399998</v>
      </c>
      <c r="H27" s="9">
        <v>245253701.53400001</v>
      </c>
      <c r="I27" s="1">
        <v>143089493.53400001</v>
      </c>
      <c r="J27" s="1">
        <v>220767109.53400001</v>
      </c>
      <c r="K27" s="1">
        <v>222527365.53400001</v>
      </c>
      <c r="L27" s="1">
        <v>106919853.53399999</v>
      </c>
      <c r="M27" s="1">
        <v>97372093.533999994</v>
      </c>
      <c r="N27" s="1">
        <v>100764597.53399999</v>
      </c>
      <c r="O27" s="1">
        <v>116121461.53399999</v>
      </c>
      <c r="P27" s="1">
        <v>118056533.53399999</v>
      </c>
      <c r="Q27" s="9">
        <v>127121685.53399999</v>
      </c>
      <c r="R27" s="1">
        <v>354609141.53399998</v>
      </c>
      <c r="S27" s="1">
        <v>443287029.53399998</v>
      </c>
      <c r="T27" s="1">
        <v>377664245.53399998</v>
      </c>
      <c r="U27" s="1">
        <v>371948789.53399998</v>
      </c>
      <c r="V27" s="1">
        <v>311952853.53399998</v>
      </c>
      <c r="W27" s="1">
        <v>372381301.53399998</v>
      </c>
      <c r="X27" s="1">
        <v>221114469.53400001</v>
      </c>
      <c r="Y27" s="1">
        <v>305070229.53399998</v>
      </c>
      <c r="Z27" s="1">
        <v>281492085.53399998</v>
      </c>
    </row>
  </sheetData>
  <mergeCells count="1">
    <mergeCell ref="A1:Z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supplementary data</vt:lpstr>
      <vt:lpstr>NEFA in serum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Yuan, Bo</dc:creator>
  <cp:lastModifiedBy>Yuan, Bo</cp:lastModifiedBy>
  <dcterms:created xsi:type="dcterms:W3CDTF">2023-09-29T20:01:42Z</dcterms:created>
  <dcterms:modified xsi:type="dcterms:W3CDTF">2023-11-10T14:56:45Z</dcterms:modified>
</cp:coreProperties>
</file>