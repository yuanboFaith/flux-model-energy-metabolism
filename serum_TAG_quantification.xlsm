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9_{60736894-186A-144B-899C-E6C087E78322}" xr6:coauthVersionLast="47" xr6:coauthVersionMax="47" xr10:uidLastSave="{00000000-0000-0000-0000-000000000000}"/>
  <bookViews>
    <workbookView xWindow="-4060" yWindow="-21600" windowWidth="38400" windowHeight="21600" xr2:uid="{4FB1F0F5-0CE0-B94C-9CCA-3D3903CE907A}"/>
  </bookViews>
  <sheets>
    <sheet name="serum_TAG_quantification" sheetId="1" r:id="rId1"/>
  </sheets>
  <calcPr calcId="0"/>
</workbook>
</file>

<file path=xl/calcChain.xml><?xml version="1.0" encoding="utf-8"?>
<calcChain xmlns="http://schemas.openxmlformats.org/spreadsheetml/2006/main">
  <c r="C172" i="1" l="1"/>
  <c r="F174" i="1"/>
  <c r="E174" i="1"/>
  <c r="D174" i="1"/>
  <c r="F173" i="1"/>
  <c r="E173" i="1"/>
  <c r="D173" i="1"/>
  <c r="C173" i="1"/>
  <c r="C174" i="1" s="1"/>
  <c r="F172" i="1"/>
  <c r="E172" i="1"/>
  <c r="D172" i="1"/>
  <c r="C176" i="1" l="1"/>
  <c r="C175" i="1"/>
</calcChain>
</file>

<file path=xl/sharedStrings.xml><?xml version="1.0" encoding="utf-8"?>
<sst xmlns="http://schemas.openxmlformats.org/spreadsheetml/2006/main" count="204" uniqueCount="104">
  <si>
    <t>RT (min)</t>
  </si>
  <si>
    <t>compound</t>
  </si>
  <si>
    <t>serum_1</t>
  </si>
  <si>
    <t>serum_2</t>
  </si>
  <si>
    <t>serum_3</t>
  </si>
  <si>
    <t>serum_4</t>
  </si>
  <si>
    <t>TG(14:0_14:0_16:0)</t>
  </si>
  <si>
    <t>TG(14:0_16:0_16:1)</t>
  </si>
  <si>
    <t>cal_1</t>
  </si>
  <si>
    <t>cal_2</t>
  </si>
  <si>
    <t>cal_3</t>
  </si>
  <si>
    <t>cal_4</t>
  </si>
  <si>
    <t>cal_5</t>
  </si>
  <si>
    <t>cal_6</t>
  </si>
  <si>
    <t>cal_7</t>
  </si>
  <si>
    <t>cal_8</t>
  </si>
  <si>
    <t>TG(14:0_16:0_18:1)</t>
  </si>
  <si>
    <t>linear scale</t>
  </si>
  <si>
    <t>peak area</t>
  </si>
  <si>
    <t>TG(14:0_16:1_18:1)</t>
  </si>
  <si>
    <t>uM</t>
  </si>
  <si>
    <t>TG(14:0_16:1_18:2)</t>
  </si>
  <si>
    <t>log scale</t>
  </si>
  <si>
    <t>TG(15:0_16:0_18:1)</t>
  </si>
  <si>
    <t>TG(15:0_16:0_18:2)</t>
  </si>
  <si>
    <t>TG(15:0_16:1_18:2)</t>
  </si>
  <si>
    <t>TG(15:0_18:1_18:2)</t>
  </si>
  <si>
    <t>SplashMix, 15:0-18:1(d7)-15:0 TG</t>
  </si>
  <si>
    <t>https://avantiresearch.com/product/330707</t>
  </si>
  <si>
    <t>TG(16:0_16:0_18:1)</t>
  </si>
  <si>
    <t xml:space="preserve">	</t>
  </si>
  <si>
    <t>ug/mL in SplashMix</t>
  </si>
  <si>
    <t>TG(16:0_16:1_18:1)</t>
  </si>
  <si>
    <t>MW</t>
  </si>
  <si>
    <t>mM in SplashMix</t>
  </si>
  <si>
    <t>TG(16:0_16:1_18:2)</t>
  </si>
  <si>
    <t>a</t>
  </si>
  <si>
    <t>TG(16:0_17:0_18:0)</t>
  </si>
  <si>
    <t>b</t>
  </si>
  <si>
    <t>TG(16:0_17:0_18:1)</t>
  </si>
  <si>
    <t>TG(16:0_17:1_18:1)</t>
  </si>
  <si>
    <t>TG(16:0_18:0_18:0)</t>
  </si>
  <si>
    <t>TG(16:0_18:0_18:1)</t>
  </si>
  <si>
    <t>TG(16:0_18:1_18:1)</t>
  </si>
  <si>
    <t>TG(16:0_18:1_18:2)</t>
  </si>
  <si>
    <t>TG(16:0_18:1_20:1)</t>
  </si>
  <si>
    <t>TG(16:0_18:1_22:5)</t>
  </si>
  <si>
    <t>TG(16:0_18:1_22:6)</t>
  </si>
  <si>
    <t>TG(16:0_18:2_18:3)</t>
  </si>
  <si>
    <t>TG(16:0_18:2_18:4)</t>
  </si>
  <si>
    <t>TG(16:0_18:2_20:5)</t>
  </si>
  <si>
    <t>TG(16:0_18:2_22:6)</t>
  </si>
  <si>
    <t>TG(16:0_19:0_18:1)</t>
  </si>
  <si>
    <t>TG(16:0_20:5_22:6)</t>
  </si>
  <si>
    <t>TG(16:0_21:0_18:1)</t>
  </si>
  <si>
    <t>TG(16:0_24:0_18:1)</t>
  </si>
  <si>
    <t>TG(16:1_16:1_18:2)</t>
  </si>
  <si>
    <t>TG(16:1_17:1_18:2)</t>
  </si>
  <si>
    <t>TG(16:1_18:1_18:2)</t>
  </si>
  <si>
    <t>TG(16:1_18:2_20:5)</t>
  </si>
  <si>
    <t>TG(16:1_18:2_22:6)</t>
  </si>
  <si>
    <t>TG(17:0_18:1_18:1)</t>
  </si>
  <si>
    <t>TG(17:0_18:1_18:2)</t>
  </si>
  <si>
    <t>TG(17:1_18:1_18:2)</t>
  </si>
  <si>
    <t>TG(17:1_18:2_18:2)</t>
  </si>
  <si>
    <t>TG(18:0_18:1_18:2)</t>
  </si>
  <si>
    <t>TG(18:0_18:1_20:1)</t>
  </si>
  <si>
    <t>TG(18:0_18:1_22:5)</t>
  </si>
  <si>
    <t>TG(18:0_20:0_18:1)</t>
  </si>
  <si>
    <t>TG(18:1_18:1_18:2)</t>
  </si>
  <si>
    <t>TG(18:1_18:1_20:1)</t>
  </si>
  <si>
    <t>TG(18:1_18:1_22:5)</t>
  </si>
  <si>
    <t>TG(18:1_18:1_22:6)</t>
  </si>
  <si>
    <t>TG(18:1_18:2_18:2)</t>
  </si>
  <si>
    <t>TG(18:1_18:2_18:3)</t>
  </si>
  <si>
    <t>TG(18:1_18:2_20:2)</t>
  </si>
  <si>
    <t>TG(18:1_18:2_22:6)</t>
  </si>
  <si>
    <t>TG(18:1_19:1_18:2)</t>
  </si>
  <si>
    <t>TG(18:1_19:1_20:1)</t>
  </si>
  <si>
    <t>TG(18:1_20:1_18:2)</t>
  </si>
  <si>
    <t>TG(18:1_20:1_20:1)</t>
  </si>
  <si>
    <t>TG(18:1_20:1_22:6)</t>
  </si>
  <si>
    <t>TG(18:1_20:3_22:6)</t>
  </si>
  <si>
    <t>TG(18:1_20:4_22:6)</t>
  </si>
  <si>
    <t>TG(18:1_22:6_22:6)</t>
  </si>
  <si>
    <t>TG(18:2_20:4_20:5)</t>
  </si>
  <si>
    <t>TG(18:2_20:4_22:6)</t>
  </si>
  <si>
    <t>TG(18:2_20:5_22:6)</t>
  </si>
  <si>
    <t>TG(18:2_22:6_22:6)</t>
  </si>
  <si>
    <t>TG(19:0_18:1_18:2)</t>
  </si>
  <si>
    <t>TG(20:0_18:1_20:1)</t>
  </si>
  <si>
    <t>TG(20:0_18:1_20:4)</t>
  </si>
  <si>
    <t>TG(20:0_18:1_22:6)</t>
  </si>
  <si>
    <t>TG(20:1_18:2_22:6)</t>
  </si>
  <si>
    <t>TG(20:1_20:1_18:2)</t>
  </si>
  <si>
    <t>TG(20:1_22:1_18:2)</t>
  </si>
  <si>
    <t>TG(21:0_20:1_18:2)</t>
  </si>
  <si>
    <t>TG(21:4_17:3_17:3)</t>
  </si>
  <si>
    <t>TG(24:0_18:1_18:2)</t>
  </si>
  <si>
    <t>total area</t>
  </si>
  <si>
    <t>mM</t>
  </si>
  <si>
    <r>
      <t>peak area (10</t>
    </r>
    <r>
      <rPr>
        <vertAlign val="superscript"/>
        <sz val="12"/>
        <color theme="1"/>
        <rFont val="Aptos Narrow (Body)"/>
      </rPr>
      <t>6</t>
    </r>
    <r>
      <rPr>
        <sz val="12"/>
        <color theme="1"/>
        <rFont val="Aptos Narrow"/>
        <family val="2"/>
        <scheme val="minor"/>
      </rPr>
      <t>)</t>
    </r>
  </si>
  <si>
    <t>mean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</si>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</sst>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vertAlign val="superscript"/>
      <sz val="12"/>
      <color theme="1"/>
      <name val="Aptos Narrow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linear</a:t>
            </a:r>
            <a:r>
              <a:rPr lang="zh-CN"/>
              <a:t> </a:t>
            </a:r>
            <a:r>
              <a:rPr lang="en-US"/>
              <a:t>scale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652516570603217"/>
          <c:y val="0.17171296296296296"/>
          <c:w val="0.71025262320737448"/>
          <c:h val="0.62308654126567509"/>
        </c:manualLayout>
      </c:layout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740881386926057"/>
                  <c:y val="0.427401827486925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serum_TAG_quantification!$J$4:$O$4</c:f>
              <c:numCache>
                <c:formatCode>General</c:formatCode>
                <c:ptCount val="6"/>
                <c:pt idx="0">
                  <c:v>67.754000000000005</c:v>
                </c:pt>
                <c:pt idx="1">
                  <c:v>13.551</c:v>
                </c:pt>
                <c:pt idx="2">
                  <c:v>2.71</c:v>
                </c:pt>
                <c:pt idx="3">
                  <c:v>0.54200000000000004</c:v>
                </c:pt>
                <c:pt idx="4">
                  <c:v>0.108</c:v>
                </c:pt>
                <c:pt idx="5">
                  <c:v>2.1999999999999999E-2</c:v>
                </c:pt>
              </c:numCache>
            </c:numRef>
          </c:xVal>
          <c:yVal>
            <c:numRef>
              <c:f>serum_TAG_quantification!$J$6:$O$6</c:f>
              <c:numCache>
                <c:formatCode>General</c:formatCode>
                <c:ptCount val="6"/>
                <c:pt idx="0">
                  <c:v>566.16999999999996</c:v>
                </c:pt>
                <c:pt idx="1">
                  <c:v>135.19999999999999</c:v>
                </c:pt>
                <c:pt idx="2">
                  <c:v>30.39</c:v>
                </c:pt>
                <c:pt idx="3">
                  <c:v>6.43</c:v>
                </c:pt>
                <c:pt idx="4">
                  <c:v>1.91</c:v>
                </c:pt>
                <c:pt idx="5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2-2940-8A95-693324487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2902815"/>
        <c:axId val="1446969903"/>
      </c:scatterChart>
      <c:valAx>
        <c:axId val="1302902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conc.</a:t>
                </a:r>
                <a:r>
                  <a:rPr lang="zh-CN" sz="1400"/>
                  <a:t> </a:t>
                </a:r>
                <a:r>
                  <a:rPr lang="en-US" sz="1400"/>
                  <a:t>uM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969903"/>
        <c:crosses val="autoZero"/>
        <c:crossBetween val="midCat"/>
      </c:valAx>
      <c:valAx>
        <c:axId val="1446969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peak area (x</a:t>
                </a:r>
                <a:r>
                  <a:rPr lang="zh-CN" sz="1600"/>
                  <a:t> </a:t>
                </a:r>
                <a:r>
                  <a:rPr lang="en-US" sz="1600"/>
                  <a:t>million)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902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log-scale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9719377819551573"/>
                  <c:y val="0.451829048556446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serum_TAG_quantification!$J$7:$O$7</c:f>
              <c:numCache>
                <c:formatCode>General</c:formatCode>
                <c:ptCount val="6"/>
                <c:pt idx="0">
                  <c:v>2.62</c:v>
                </c:pt>
                <c:pt idx="1">
                  <c:v>1.62</c:v>
                </c:pt>
                <c:pt idx="2">
                  <c:v>0.62</c:v>
                </c:pt>
                <c:pt idx="3">
                  <c:v>-0.38</c:v>
                </c:pt>
                <c:pt idx="4">
                  <c:v>-1.38</c:v>
                </c:pt>
                <c:pt idx="5">
                  <c:v>-2.38</c:v>
                </c:pt>
              </c:numCache>
            </c:numRef>
          </c:xVal>
          <c:yVal>
            <c:numRef>
              <c:f>serum_TAG_quantification!$J$8:$O$8</c:f>
              <c:numCache>
                <c:formatCode>General</c:formatCode>
                <c:ptCount val="6"/>
                <c:pt idx="0">
                  <c:v>12.52</c:v>
                </c:pt>
                <c:pt idx="1">
                  <c:v>11.63</c:v>
                </c:pt>
                <c:pt idx="2">
                  <c:v>10.71</c:v>
                </c:pt>
                <c:pt idx="3">
                  <c:v>9.74</c:v>
                </c:pt>
                <c:pt idx="4">
                  <c:v>8.99</c:v>
                </c:pt>
                <c:pt idx="5">
                  <c:v>7.99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12-784D-A243-E73FC1576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441263"/>
        <c:axId val="1304065679"/>
      </c:scatterChart>
      <c:valAx>
        <c:axId val="13094412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conc.</a:t>
                </a:r>
                <a:r>
                  <a:rPr lang="zh-CN" sz="1400"/>
                  <a:t> </a:t>
                </a:r>
                <a:r>
                  <a:rPr lang="en-US" sz="1400"/>
                  <a:t>uM</a:t>
                </a:r>
                <a:r>
                  <a:rPr lang="zh-CN" sz="1400"/>
                  <a:t> </a:t>
                </a:r>
                <a:r>
                  <a:rPr lang="en-US" sz="1400"/>
                  <a:t>(log</a:t>
                </a:r>
                <a:r>
                  <a:rPr lang="zh-CN" sz="1400"/>
                  <a:t> </a:t>
                </a:r>
                <a:r>
                  <a:rPr lang="en-US" sz="1400"/>
                  <a:t>bse</a:t>
                </a:r>
                <a:r>
                  <a:rPr lang="zh-CN" sz="1400"/>
                  <a:t> </a:t>
                </a:r>
                <a:r>
                  <a:rPr lang="en-US" sz="1400"/>
                  <a:t>5)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65679"/>
        <c:crosses val="autoZero"/>
        <c:crossBetween val="midCat"/>
      </c:valAx>
      <c:valAx>
        <c:axId val="1304065679"/>
        <c:scaling>
          <c:orientation val="minMax"/>
          <c:min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peak</a:t>
                </a:r>
                <a:r>
                  <a:rPr lang="zh-CN" sz="1600"/>
                  <a:t> </a:t>
                </a:r>
                <a:r>
                  <a:rPr lang="en-US" sz="1600"/>
                  <a:t>area</a:t>
                </a:r>
                <a:r>
                  <a:rPr lang="zh-CN" sz="1600"/>
                  <a:t> </a:t>
                </a:r>
                <a:r>
                  <a:rPr lang="en-US" sz="1600"/>
                  <a:t>(log</a:t>
                </a:r>
                <a:r>
                  <a:rPr lang="zh-CN" sz="1600"/>
                  <a:t> </a:t>
                </a:r>
                <a:r>
                  <a:rPr lang="en-US" sz="1600"/>
                  <a:t>base</a:t>
                </a:r>
                <a:r>
                  <a:rPr lang="zh-CN" sz="1600"/>
                  <a:t> </a:t>
                </a:r>
                <a:r>
                  <a:rPr lang="en-US" sz="1600"/>
                  <a:t>5)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441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702837</xdr:colOff>
      <xdr:row>8</xdr:row>
      <xdr:rowOff>147584</xdr:rowOff>
    </xdr:from>
    <xdr:to>
      <xdr:col>12</xdr:col>
      <xdr:colOff>593929</xdr:colOff>
      <xdr:row>24</xdr:row>
      <xdr:rowOff>160867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911026-1615-F9CD-E477-B22BEB86E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580565</xdr:colOff>
      <xdr:row>8</xdr:row>
      <xdr:rowOff>163838</xdr:rowOff>
    </xdr:from>
    <xdr:to>
      <xdr:col>16</xdr:col>
      <xdr:colOff>740687</xdr:colOff>
      <xdr:row>24</xdr:row>
      <xdr:rowOff>175974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A6B440-9225-B4FD-E226-75ACBC99F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2CDC3-9291-7941-B07F-6CEE00C4592F}">
  <dimension ref="A1:Q176"/>
  <sheetViews>
    <sheetView tabSelected="1" zoomScale="133" workbookViewId="0">
      <selection activeCell="G6" sqref="G6"/>
    </sheetView>
  </sheetViews>
  <sheetFormatPr baseColWidth="10" defaultRowHeight="16" x14ac:dyDescent="0.2"/>
  <cols>
    <col min="8" max="8" width="20.6640625" customWidth="1"/>
    <col min="9" max="9" width="13.8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7" ht="17" thickBot="1" x14ac:dyDescent="0.25">
      <c r="A2">
        <v>18.890999999999998</v>
      </c>
      <c r="B2" t="s">
        <v>6</v>
      </c>
      <c r="C2" s="1">
        <v>300000</v>
      </c>
      <c r="D2" s="1">
        <v>400000</v>
      </c>
      <c r="E2" s="1">
        <v>400000</v>
      </c>
      <c r="F2" s="1">
        <v>300000</v>
      </c>
    </row>
    <row r="3" spans="1:17" ht="17" thickBot="1" x14ac:dyDescent="0.25">
      <c r="A3">
        <v>19.803000000000001</v>
      </c>
      <c r="B3" t="s">
        <v>6</v>
      </c>
      <c r="C3" s="1">
        <v>300000</v>
      </c>
      <c r="D3" s="1">
        <v>400000</v>
      </c>
      <c r="E3" s="1">
        <v>400000</v>
      </c>
      <c r="F3" s="1">
        <v>400000</v>
      </c>
      <c r="H3" s="4"/>
      <c r="I3" s="4"/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  <c r="Q3" s="4" t="s">
        <v>15</v>
      </c>
    </row>
    <row r="4" spans="1:17" ht="17" thickBot="1" x14ac:dyDescent="0.25">
      <c r="A4">
        <v>18.904</v>
      </c>
      <c r="B4" t="s">
        <v>7</v>
      </c>
      <c r="C4" s="1">
        <v>600000</v>
      </c>
      <c r="D4" s="1">
        <v>600000</v>
      </c>
      <c r="E4" s="1">
        <v>900000</v>
      </c>
      <c r="F4" s="1">
        <v>500000</v>
      </c>
      <c r="H4" s="2" t="s">
        <v>17</v>
      </c>
      <c r="I4" s="4" t="s">
        <v>20</v>
      </c>
      <c r="J4" s="4">
        <v>67.754000000000005</v>
      </c>
      <c r="K4" s="4">
        <v>13.551</v>
      </c>
      <c r="L4" s="4">
        <v>2.71</v>
      </c>
      <c r="M4" s="4">
        <v>0.54200000000000004</v>
      </c>
      <c r="N4" s="4">
        <v>0.108</v>
      </c>
      <c r="O4" s="4">
        <v>2.1999999999999999E-2</v>
      </c>
      <c r="P4" s="4">
        <v>4.0000000000000001E-3</v>
      </c>
      <c r="Q4" s="4">
        <v>1E-3</v>
      </c>
    </row>
    <row r="5" spans="1:17" ht="17" thickBot="1" x14ac:dyDescent="0.25">
      <c r="A5">
        <v>19.015000000000001</v>
      </c>
      <c r="B5" t="s">
        <v>16</v>
      </c>
      <c r="C5" s="1">
        <v>600000</v>
      </c>
      <c r="D5" s="1">
        <v>800000</v>
      </c>
      <c r="E5" s="1">
        <v>700000</v>
      </c>
      <c r="F5" s="1">
        <v>700000</v>
      </c>
      <c r="H5" s="2"/>
      <c r="I5" s="4" t="s">
        <v>18</v>
      </c>
      <c r="J5" s="4">
        <v>566174912</v>
      </c>
      <c r="K5" s="4">
        <v>135196112</v>
      </c>
      <c r="L5" s="4">
        <v>30391968</v>
      </c>
      <c r="M5" s="4">
        <v>6434678</v>
      </c>
      <c r="N5" s="4">
        <v>1912547</v>
      </c>
      <c r="O5" s="4">
        <v>382435</v>
      </c>
      <c r="P5" s="4">
        <v>226939</v>
      </c>
      <c r="Q5" s="4">
        <v>129733</v>
      </c>
    </row>
    <row r="6" spans="1:17" ht="20" thickBot="1" x14ac:dyDescent="0.25">
      <c r="A6">
        <v>19.573</v>
      </c>
      <c r="B6" t="s">
        <v>16</v>
      </c>
      <c r="C6" s="1">
        <v>3000000</v>
      </c>
      <c r="D6" s="1">
        <v>3000000</v>
      </c>
      <c r="E6" s="1">
        <v>4000000</v>
      </c>
      <c r="F6" s="1">
        <v>3000000</v>
      </c>
      <c r="H6" s="2"/>
      <c r="I6" s="4" t="s">
        <v>101</v>
      </c>
      <c r="J6" s="4">
        <v>566.16999999999996</v>
      </c>
      <c r="K6" s="4">
        <v>135.19999999999999</v>
      </c>
      <c r="L6" s="4">
        <v>30.39</v>
      </c>
      <c r="M6" s="4">
        <v>6.43</v>
      </c>
      <c r="N6" s="4">
        <v>1.91</v>
      </c>
      <c r="O6" s="4">
        <v>0.38</v>
      </c>
      <c r="P6" s="4">
        <v>0.23</v>
      </c>
      <c r="Q6" s="4">
        <v>0.13</v>
      </c>
    </row>
    <row r="7" spans="1:17" ht="17" thickBot="1" x14ac:dyDescent="0.25">
      <c r="A7">
        <v>19.015000000000001</v>
      </c>
      <c r="B7" t="s">
        <v>19</v>
      </c>
      <c r="C7" s="1">
        <v>3000000</v>
      </c>
      <c r="D7" s="1">
        <v>5000000</v>
      </c>
      <c r="E7" s="1">
        <v>4000000</v>
      </c>
      <c r="F7" s="1">
        <v>4000000</v>
      </c>
      <c r="H7" s="3" t="s">
        <v>22</v>
      </c>
      <c r="I7" s="4" t="s">
        <v>20</v>
      </c>
      <c r="J7" s="4">
        <v>2.62</v>
      </c>
      <c r="K7" s="4">
        <v>1.62</v>
      </c>
      <c r="L7" s="4">
        <v>0.62</v>
      </c>
      <c r="M7" s="4">
        <v>-0.38</v>
      </c>
      <c r="N7" s="4">
        <v>-1.38</v>
      </c>
      <c r="O7" s="4">
        <v>-2.38</v>
      </c>
      <c r="P7" s="4">
        <v>-3.38</v>
      </c>
      <c r="Q7" s="4">
        <v>-4.38</v>
      </c>
    </row>
    <row r="8" spans="1:17" ht="17" thickBot="1" x14ac:dyDescent="0.25">
      <c r="A8">
        <v>15.391</v>
      </c>
      <c r="B8" t="s">
        <v>21</v>
      </c>
      <c r="C8" s="1">
        <v>200000</v>
      </c>
      <c r="D8" s="1">
        <v>600000</v>
      </c>
      <c r="E8" s="1">
        <v>500000</v>
      </c>
      <c r="F8" s="1">
        <v>600000</v>
      </c>
      <c r="H8" s="3"/>
      <c r="I8" s="4" t="s">
        <v>18</v>
      </c>
      <c r="J8" s="4">
        <v>12.52</v>
      </c>
      <c r="K8" s="4">
        <v>11.63</v>
      </c>
      <c r="L8" s="4">
        <v>10.71</v>
      </c>
      <c r="M8" s="4">
        <v>9.74</v>
      </c>
      <c r="N8" s="4">
        <v>8.99</v>
      </c>
      <c r="O8" s="4">
        <v>7.99</v>
      </c>
      <c r="P8" s="4">
        <v>7.66</v>
      </c>
      <c r="Q8" s="4">
        <v>7.32</v>
      </c>
    </row>
    <row r="9" spans="1:17" x14ac:dyDescent="0.2">
      <c r="A9">
        <v>18.344000000000001</v>
      </c>
      <c r="B9" t="s">
        <v>21</v>
      </c>
      <c r="C9" s="1">
        <v>1000000</v>
      </c>
      <c r="D9" s="1">
        <v>1000000</v>
      </c>
      <c r="E9" s="1">
        <v>2000000</v>
      </c>
      <c r="F9" s="1">
        <v>1000000</v>
      </c>
    </row>
    <row r="10" spans="1:17" x14ac:dyDescent="0.2">
      <c r="A10">
        <v>19.524000000000001</v>
      </c>
      <c r="B10" t="s">
        <v>23</v>
      </c>
      <c r="C10" s="1">
        <v>7000000</v>
      </c>
      <c r="D10" s="1">
        <v>7000000</v>
      </c>
      <c r="E10" s="1">
        <v>6000000</v>
      </c>
      <c r="F10" s="1">
        <v>7000000</v>
      </c>
    </row>
    <row r="11" spans="1:17" x14ac:dyDescent="0.2">
      <c r="A11">
        <v>19.523</v>
      </c>
      <c r="B11" t="s">
        <v>24</v>
      </c>
      <c r="C11" s="1">
        <v>40000000</v>
      </c>
      <c r="D11" s="1">
        <v>40000000</v>
      </c>
      <c r="E11" s="1">
        <v>40000000</v>
      </c>
      <c r="F11" s="1">
        <v>40000000</v>
      </c>
    </row>
    <row r="12" spans="1:17" x14ac:dyDescent="0.2">
      <c r="A12">
        <v>18.689</v>
      </c>
      <c r="B12" t="s">
        <v>25</v>
      </c>
      <c r="C12" s="1">
        <v>500000</v>
      </c>
      <c r="D12" s="1">
        <v>800000</v>
      </c>
      <c r="E12" s="1">
        <v>900000</v>
      </c>
      <c r="F12" s="1">
        <v>700000</v>
      </c>
      <c r="I12" s="6">
        <v>55</v>
      </c>
    </row>
    <row r="13" spans="1:17" x14ac:dyDescent="0.2">
      <c r="A13">
        <v>19.361000000000001</v>
      </c>
      <c r="B13" t="s">
        <v>26</v>
      </c>
      <c r="C13" s="1">
        <v>4000000</v>
      </c>
      <c r="D13" s="1">
        <v>10000000</v>
      </c>
      <c r="E13" s="1">
        <v>8000000</v>
      </c>
      <c r="F13" s="1">
        <v>7000000</v>
      </c>
      <c r="H13" s="5" t="s">
        <v>27</v>
      </c>
      <c r="I13" s="6">
        <v>811.76499999999999</v>
      </c>
    </row>
    <row r="14" spans="1:17" x14ac:dyDescent="0.2">
      <c r="A14">
        <v>18.792999999999999</v>
      </c>
      <c r="B14" t="s">
        <v>26</v>
      </c>
      <c r="C14" s="1">
        <v>400000</v>
      </c>
      <c r="D14" s="1">
        <v>1000000</v>
      </c>
      <c r="E14" s="1">
        <v>800000</v>
      </c>
      <c r="F14" s="1">
        <v>1000000</v>
      </c>
      <c r="H14" s="5" t="s">
        <v>28</v>
      </c>
      <c r="I14" s="6">
        <v>6.8000000000000005E-2</v>
      </c>
    </row>
    <row r="15" spans="1:17" x14ac:dyDescent="0.2">
      <c r="A15">
        <v>19.648</v>
      </c>
      <c r="B15" t="s">
        <v>29</v>
      </c>
      <c r="C15" s="1">
        <v>6000000</v>
      </c>
      <c r="D15" s="1">
        <v>9000000</v>
      </c>
      <c r="E15" s="1">
        <v>8000000</v>
      </c>
      <c r="F15" s="1">
        <v>8000000</v>
      </c>
      <c r="H15" t="s">
        <v>30</v>
      </c>
    </row>
    <row r="16" spans="1:17" x14ac:dyDescent="0.2">
      <c r="A16">
        <v>20.170000000000002</v>
      </c>
      <c r="B16" t="s">
        <v>29</v>
      </c>
      <c r="C16" s="1">
        <v>10000000</v>
      </c>
      <c r="D16" s="1">
        <v>20000000</v>
      </c>
      <c r="E16" s="1">
        <v>20000000</v>
      </c>
      <c r="F16" s="1">
        <v>10000000</v>
      </c>
      <c r="H16" t="s">
        <v>31</v>
      </c>
    </row>
    <row r="17" spans="1:8" x14ac:dyDescent="0.2">
      <c r="A17">
        <v>19.033000000000001</v>
      </c>
      <c r="B17" t="s">
        <v>32</v>
      </c>
      <c r="C17" s="1">
        <v>6000000</v>
      </c>
      <c r="D17" s="1">
        <v>8000000</v>
      </c>
      <c r="E17" s="1">
        <v>10000000</v>
      </c>
      <c r="F17" s="1">
        <v>8000000</v>
      </c>
      <c r="H17" t="s">
        <v>33</v>
      </c>
    </row>
    <row r="18" spans="1:8" x14ac:dyDescent="0.2">
      <c r="A18">
        <v>19.652999999999999</v>
      </c>
      <c r="B18" t="s">
        <v>32</v>
      </c>
      <c r="C18" s="1">
        <v>30000000</v>
      </c>
      <c r="D18" s="1">
        <v>50000000</v>
      </c>
      <c r="E18" s="1">
        <v>40000000</v>
      </c>
      <c r="F18" s="1">
        <v>40000000</v>
      </c>
      <c r="H18" t="s">
        <v>34</v>
      </c>
    </row>
    <row r="19" spans="1:8" x14ac:dyDescent="0.2">
      <c r="A19">
        <v>18.440000000000001</v>
      </c>
      <c r="B19" t="s">
        <v>35</v>
      </c>
      <c r="C19" s="1">
        <v>900000</v>
      </c>
      <c r="D19" s="1">
        <v>2000000</v>
      </c>
      <c r="E19" s="1">
        <v>2000000</v>
      </c>
      <c r="F19" s="1">
        <v>2000000</v>
      </c>
    </row>
    <row r="20" spans="1:8" x14ac:dyDescent="0.2">
      <c r="A20">
        <v>19.041</v>
      </c>
      <c r="B20" t="s">
        <v>35</v>
      </c>
      <c r="C20" s="1">
        <v>30000000</v>
      </c>
      <c r="D20" s="1">
        <v>40000000</v>
      </c>
      <c r="E20" s="1">
        <v>50000000</v>
      </c>
      <c r="F20" s="1">
        <v>40000000</v>
      </c>
      <c r="G20" s="5" t="s">
        <v>36</v>
      </c>
      <c r="H20">
        <v>8.6629000000000005</v>
      </c>
    </row>
    <row r="21" spans="1:8" x14ac:dyDescent="0.2">
      <c r="A21">
        <v>20.462</v>
      </c>
      <c r="B21" t="s">
        <v>37</v>
      </c>
      <c r="C21" s="1">
        <v>100000</v>
      </c>
      <c r="D21" s="1">
        <v>300000</v>
      </c>
      <c r="E21" s="1">
        <v>200000</v>
      </c>
      <c r="F21" s="1">
        <v>200000</v>
      </c>
      <c r="G21" s="5" t="s">
        <v>38</v>
      </c>
      <c r="H21">
        <v>6.0346000000000002</v>
      </c>
    </row>
    <row r="22" spans="1:8" x14ac:dyDescent="0.2">
      <c r="A22">
        <v>19.905999999999999</v>
      </c>
      <c r="B22" t="s">
        <v>39</v>
      </c>
      <c r="C22" s="1">
        <v>400000</v>
      </c>
      <c r="D22" s="1">
        <v>700000</v>
      </c>
      <c r="E22" s="1">
        <v>700000</v>
      </c>
      <c r="F22" s="1">
        <v>500000</v>
      </c>
    </row>
    <row r="23" spans="1:8" x14ac:dyDescent="0.2">
      <c r="A23">
        <v>20.459</v>
      </c>
      <c r="B23" t="s">
        <v>39</v>
      </c>
      <c r="C23" s="1">
        <v>700000</v>
      </c>
      <c r="D23" s="1">
        <v>1000000</v>
      </c>
      <c r="E23" s="1">
        <v>900000</v>
      </c>
      <c r="F23" s="1">
        <v>800000</v>
      </c>
    </row>
    <row r="24" spans="1:8" x14ac:dyDescent="0.2">
      <c r="A24">
        <v>21.052</v>
      </c>
      <c r="B24" t="s">
        <v>39</v>
      </c>
      <c r="C24" s="1">
        <v>200000</v>
      </c>
      <c r="D24" s="1">
        <v>400000</v>
      </c>
      <c r="E24" s="1">
        <v>200000</v>
      </c>
      <c r="F24" s="1">
        <v>200000</v>
      </c>
    </row>
    <row r="25" spans="1:8" x14ac:dyDescent="0.2">
      <c r="A25">
        <v>19.356999999999999</v>
      </c>
      <c r="B25" t="s">
        <v>40</v>
      </c>
      <c r="C25" s="1">
        <v>800000</v>
      </c>
      <c r="D25" s="1">
        <v>2000000</v>
      </c>
      <c r="E25" s="1">
        <v>1000000</v>
      </c>
      <c r="F25" s="1">
        <v>1000000</v>
      </c>
    </row>
    <row r="26" spans="1:8" x14ac:dyDescent="0.2">
      <c r="A26">
        <v>19.908999999999999</v>
      </c>
      <c r="B26" t="s">
        <v>40</v>
      </c>
      <c r="C26" s="1">
        <v>2000000</v>
      </c>
      <c r="D26" s="1">
        <v>4000000</v>
      </c>
      <c r="E26" s="1">
        <v>3000000</v>
      </c>
      <c r="F26" s="1">
        <v>3000000</v>
      </c>
    </row>
    <row r="27" spans="1:8" x14ac:dyDescent="0.2">
      <c r="A27">
        <v>20.175999999999998</v>
      </c>
      <c r="B27" t="s">
        <v>41</v>
      </c>
      <c r="C27" s="1">
        <v>300000</v>
      </c>
      <c r="D27" s="1">
        <v>200000</v>
      </c>
      <c r="E27" s="1">
        <v>200000</v>
      </c>
      <c r="F27" s="1">
        <v>500000</v>
      </c>
    </row>
    <row r="28" spans="1:8" x14ac:dyDescent="0.2">
      <c r="A28">
        <v>20.74</v>
      </c>
      <c r="B28" t="s">
        <v>41</v>
      </c>
      <c r="C28" s="1">
        <v>700000</v>
      </c>
      <c r="D28" s="1">
        <v>1000000</v>
      </c>
      <c r="E28" s="1">
        <v>900000</v>
      </c>
      <c r="F28" s="1">
        <v>900000</v>
      </c>
    </row>
    <row r="29" spans="1:8" x14ac:dyDescent="0.2">
      <c r="A29">
        <v>21.262</v>
      </c>
      <c r="B29" t="s">
        <v>41</v>
      </c>
      <c r="C29" s="1">
        <v>2000000</v>
      </c>
      <c r="D29" s="1">
        <v>3000000</v>
      </c>
      <c r="E29" s="1">
        <v>2000000</v>
      </c>
      <c r="F29" s="1">
        <v>2000000</v>
      </c>
    </row>
    <row r="30" spans="1:8" x14ac:dyDescent="0.2">
      <c r="A30">
        <v>20.184000000000001</v>
      </c>
      <c r="B30" t="s">
        <v>42</v>
      </c>
      <c r="C30" s="1">
        <v>9000000</v>
      </c>
      <c r="D30" s="1">
        <v>20000000</v>
      </c>
      <c r="E30" s="1">
        <v>20000000</v>
      </c>
      <c r="F30" s="1">
        <v>10000000</v>
      </c>
    </row>
    <row r="31" spans="1:8" x14ac:dyDescent="0.2">
      <c r="A31">
        <v>20.734999999999999</v>
      </c>
      <c r="B31" t="s">
        <v>42</v>
      </c>
      <c r="C31" s="1">
        <v>3000000</v>
      </c>
      <c r="D31" s="1">
        <v>6000000</v>
      </c>
      <c r="E31" s="1">
        <v>4000000</v>
      </c>
      <c r="F31" s="1">
        <v>4000000</v>
      </c>
    </row>
    <row r="32" spans="1:8" x14ac:dyDescent="0.2">
      <c r="A32">
        <v>19.664999999999999</v>
      </c>
      <c r="B32" t="s">
        <v>43</v>
      </c>
      <c r="C32" s="1">
        <v>40000000</v>
      </c>
      <c r="D32" s="1">
        <v>80000000</v>
      </c>
      <c r="E32" s="1">
        <v>60000000</v>
      </c>
      <c r="F32" s="1">
        <v>70000000</v>
      </c>
    </row>
    <row r="33" spans="1:6" x14ac:dyDescent="0.2">
      <c r="A33">
        <v>20.186</v>
      </c>
      <c r="B33" t="s">
        <v>43</v>
      </c>
      <c r="C33" s="1">
        <v>50000000</v>
      </c>
      <c r="D33" s="1">
        <v>80000000</v>
      </c>
      <c r="E33" s="1">
        <v>80000000</v>
      </c>
      <c r="F33" s="1">
        <v>60000000</v>
      </c>
    </row>
    <row r="34" spans="1:6" x14ac:dyDescent="0.2">
      <c r="A34">
        <v>19.123000000000001</v>
      </c>
      <c r="B34" t="s">
        <v>44</v>
      </c>
      <c r="C34" s="1">
        <v>30000000</v>
      </c>
      <c r="D34" s="1">
        <v>100000000</v>
      </c>
      <c r="E34" s="1">
        <v>70000000</v>
      </c>
      <c r="F34" s="1">
        <v>90000000</v>
      </c>
    </row>
    <row r="35" spans="1:6" x14ac:dyDescent="0.2">
      <c r="A35">
        <v>19.670999999999999</v>
      </c>
      <c r="B35" t="s">
        <v>44</v>
      </c>
      <c r="C35" s="1">
        <v>200000000</v>
      </c>
      <c r="D35" s="1">
        <v>400000000</v>
      </c>
      <c r="E35" s="1">
        <v>300000000</v>
      </c>
      <c r="F35" s="1">
        <v>400000000</v>
      </c>
    </row>
    <row r="36" spans="1:6" x14ac:dyDescent="0.2">
      <c r="A36">
        <v>19.658999999999999</v>
      </c>
      <c r="B36" t="s">
        <v>45</v>
      </c>
      <c r="C36" s="1">
        <v>2000000</v>
      </c>
      <c r="D36" s="1">
        <v>3000000</v>
      </c>
      <c r="E36" s="1">
        <v>2000000</v>
      </c>
      <c r="F36" s="1">
        <v>3000000</v>
      </c>
    </row>
    <row r="37" spans="1:6" x14ac:dyDescent="0.2">
      <c r="A37">
        <v>20.212</v>
      </c>
      <c r="B37" t="s">
        <v>45</v>
      </c>
      <c r="C37" s="1">
        <v>7000000</v>
      </c>
      <c r="D37" s="1">
        <v>9000000</v>
      </c>
      <c r="E37" s="1">
        <v>10000000</v>
      </c>
      <c r="F37" s="1">
        <v>7000000</v>
      </c>
    </row>
    <row r="38" spans="1:6" x14ac:dyDescent="0.2">
      <c r="A38">
        <v>20.736000000000001</v>
      </c>
      <c r="B38" t="s">
        <v>45</v>
      </c>
      <c r="C38" s="1">
        <v>4000000</v>
      </c>
      <c r="D38" s="1">
        <v>6000000</v>
      </c>
      <c r="E38" s="1">
        <v>6000000</v>
      </c>
      <c r="F38" s="1">
        <v>4000000</v>
      </c>
    </row>
    <row r="39" spans="1:6" x14ac:dyDescent="0.2">
      <c r="A39">
        <v>18.587</v>
      </c>
      <c r="B39" t="s">
        <v>46</v>
      </c>
      <c r="C39" s="1">
        <v>3000000</v>
      </c>
      <c r="D39" s="1">
        <v>7000000</v>
      </c>
      <c r="E39" s="1">
        <v>4000000</v>
      </c>
      <c r="F39" s="1">
        <v>5000000</v>
      </c>
    </row>
    <row r="40" spans="1:6" x14ac:dyDescent="0.2">
      <c r="A40">
        <v>18.937000000000001</v>
      </c>
      <c r="B40" t="s">
        <v>46</v>
      </c>
      <c r="C40" s="1">
        <v>6000000</v>
      </c>
      <c r="D40" s="1">
        <v>10000000</v>
      </c>
      <c r="E40" s="1">
        <v>6000000</v>
      </c>
      <c r="F40" s="1">
        <v>9000000</v>
      </c>
    </row>
    <row r="41" spans="1:6" x14ac:dyDescent="0.2">
      <c r="A41">
        <v>19.228000000000002</v>
      </c>
      <c r="B41" t="s">
        <v>46</v>
      </c>
      <c r="C41" s="1">
        <v>10000000</v>
      </c>
      <c r="D41" s="1">
        <v>20000000</v>
      </c>
      <c r="E41" s="1">
        <v>10000000</v>
      </c>
      <c r="F41" s="1">
        <v>10000000</v>
      </c>
    </row>
    <row r="42" spans="1:6" x14ac:dyDescent="0.2">
      <c r="A42">
        <v>19.475999999999999</v>
      </c>
      <c r="B42" t="s">
        <v>46</v>
      </c>
      <c r="C42" s="1">
        <v>10000000</v>
      </c>
      <c r="D42" s="1">
        <v>20000000</v>
      </c>
      <c r="E42" s="1">
        <v>10000000</v>
      </c>
      <c r="F42" s="1">
        <v>10000000</v>
      </c>
    </row>
    <row r="43" spans="1:6" x14ac:dyDescent="0.2">
      <c r="A43">
        <v>18.452000000000002</v>
      </c>
      <c r="B43" t="s">
        <v>47</v>
      </c>
      <c r="C43" s="1">
        <v>6000000</v>
      </c>
      <c r="D43" s="1">
        <v>10000000</v>
      </c>
      <c r="E43" s="1">
        <v>8000000</v>
      </c>
      <c r="F43" s="1">
        <v>10000000</v>
      </c>
    </row>
    <row r="44" spans="1:6" x14ac:dyDescent="0.2">
      <c r="A44">
        <v>18.672000000000001</v>
      </c>
      <c r="B44" t="s">
        <v>47</v>
      </c>
      <c r="C44" s="1">
        <v>20000000</v>
      </c>
      <c r="D44" s="1">
        <v>40000000</v>
      </c>
      <c r="E44" s="1">
        <v>20000000</v>
      </c>
      <c r="F44" s="1">
        <v>30000000</v>
      </c>
    </row>
    <row r="45" spans="1:6" x14ac:dyDescent="0.2">
      <c r="A45">
        <v>18.937999999999999</v>
      </c>
      <c r="B45" t="s">
        <v>47</v>
      </c>
      <c r="C45" s="1">
        <v>20000000</v>
      </c>
      <c r="D45" s="1">
        <v>40000000</v>
      </c>
      <c r="E45" s="1">
        <v>20000000</v>
      </c>
      <c r="F45" s="1">
        <v>30000000</v>
      </c>
    </row>
    <row r="46" spans="1:6" x14ac:dyDescent="0.2">
      <c r="A46">
        <v>19.228000000000002</v>
      </c>
      <c r="B46" t="s">
        <v>47</v>
      </c>
      <c r="C46" s="1">
        <v>30000000</v>
      </c>
      <c r="D46" s="1">
        <v>60000000</v>
      </c>
      <c r="E46" s="1">
        <v>40000000</v>
      </c>
      <c r="F46" s="1">
        <v>50000000</v>
      </c>
    </row>
    <row r="47" spans="1:6" x14ac:dyDescent="0.2">
      <c r="A47">
        <v>18.614000000000001</v>
      </c>
      <c r="B47" t="s">
        <v>48</v>
      </c>
      <c r="C47" s="1">
        <v>20000000</v>
      </c>
      <c r="D47" s="1">
        <v>60000000</v>
      </c>
      <c r="E47" s="1">
        <v>40000000</v>
      </c>
      <c r="F47" s="1">
        <v>50000000</v>
      </c>
    </row>
    <row r="48" spans="1:6" x14ac:dyDescent="0.2">
      <c r="A48">
        <v>17.95</v>
      </c>
      <c r="B48" t="s">
        <v>49</v>
      </c>
      <c r="C48" s="1">
        <v>4000000</v>
      </c>
      <c r="D48" s="1">
        <v>9000000</v>
      </c>
      <c r="E48" s="1">
        <v>7000000</v>
      </c>
      <c r="F48" s="1">
        <v>8000000</v>
      </c>
    </row>
    <row r="49" spans="1:6" x14ac:dyDescent="0.2">
      <c r="A49">
        <v>18.189</v>
      </c>
      <c r="B49" t="s">
        <v>49</v>
      </c>
      <c r="C49" s="1">
        <v>4000000</v>
      </c>
      <c r="D49" s="1">
        <v>10000000</v>
      </c>
      <c r="E49" s="1">
        <v>6000000</v>
      </c>
      <c r="F49" s="1">
        <v>10000000</v>
      </c>
    </row>
    <row r="50" spans="1:6" x14ac:dyDescent="0.2">
      <c r="A50">
        <v>18.045999999999999</v>
      </c>
      <c r="B50" t="s">
        <v>50</v>
      </c>
      <c r="C50" s="1">
        <v>8000000</v>
      </c>
      <c r="D50" s="1">
        <v>40000000</v>
      </c>
      <c r="E50" s="1">
        <v>20000000</v>
      </c>
      <c r="F50" s="1">
        <v>30000000</v>
      </c>
    </row>
    <row r="51" spans="1:6" x14ac:dyDescent="0.2">
      <c r="A51">
        <v>18.431000000000001</v>
      </c>
      <c r="B51" t="s">
        <v>50</v>
      </c>
      <c r="C51" s="1">
        <v>20000000</v>
      </c>
      <c r="D51" s="1">
        <v>60000000</v>
      </c>
      <c r="E51" s="1">
        <v>40000000</v>
      </c>
      <c r="F51" s="1">
        <v>60000000</v>
      </c>
    </row>
    <row r="52" spans="1:6" x14ac:dyDescent="0.2">
      <c r="A52">
        <v>18.456</v>
      </c>
      <c r="B52" t="s">
        <v>51</v>
      </c>
      <c r="C52" s="1">
        <v>20000000</v>
      </c>
      <c r="D52" s="1">
        <v>50000000</v>
      </c>
      <c r="E52" s="1">
        <v>30000000</v>
      </c>
      <c r="F52" s="1">
        <v>30000000</v>
      </c>
    </row>
    <row r="53" spans="1:6" x14ac:dyDescent="0.2">
      <c r="A53">
        <v>18.670999999999999</v>
      </c>
      <c r="B53" t="s">
        <v>51</v>
      </c>
      <c r="C53" s="1">
        <v>80000000</v>
      </c>
      <c r="D53" s="1">
        <v>200000000</v>
      </c>
      <c r="E53" s="1">
        <v>100000000</v>
      </c>
      <c r="F53" s="1">
        <v>100000000</v>
      </c>
    </row>
    <row r="54" spans="1:6" x14ac:dyDescent="0.2">
      <c r="A54">
        <v>20.173999999999999</v>
      </c>
      <c r="B54" t="s">
        <v>52</v>
      </c>
      <c r="C54" s="1">
        <v>80000</v>
      </c>
      <c r="D54" s="1">
        <v>70000</v>
      </c>
      <c r="E54" s="1">
        <v>90000</v>
      </c>
      <c r="F54" s="1">
        <v>60000</v>
      </c>
    </row>
    <row r="55" spans="1:6" x14ac:dyDescent="0.2">
      <c r="A55">
        <v>20.48</v>
      </c>
      <c r="B55" t="s">
        <v>52</v>
      </c>
      <c r="C55" s="1">
        <v>200000</v>
      </c>
      <c r="D55" s="1">
        <v>400000</v>
      </c>
      <c r="E55" s="1">
        <v>300000</v>
      </c>
      <c r="F55" s="1">
        <v>300000</v>
      </c>
    </row>
    <row r="56" spans="1:6" x14ac:dyDescent="0.2">
      <c r="A56">
        <v>20.995000000000001</v>
      </c>
      <c r="B56" t="s">
        <v>52</v>
      </c>
      <c r="C56" s="1">
        <v>200000</v>
      </c>
      <c r="D56" s="1">
        <v>400000</v>
      </c>
      <c r="E56" s="1">
        <v>200000</v>
      </c>
      <c r="F56" s="1">
        <v>200000</v>
      </c>
    </row>
    <row r="57" spans="1:6" x14ac:dyDescent="0.2">
      <c r="A57">
        <v>21.562000000000001</v>
      </c>
      <c r="B57" t="s">
        <v>52</v>
      </c>
      <c r="C57" s="1">
        <v>200000</v>
      </c>
      <c r="D57" s="1">
        <v>300000</v>
      </c>
      <c r="E57" s="1">
        <v>100000</v>
      </c>
      <c r="F57" s="1">
        <v>200000</v>
      </c>
    </row>
    <row r="58" spans="1:6" x14ac:dyDescent="0.2">
      <c r="A58">
        <v>17.637</v>
      </c>
      <c r="B58" t="s">
        <v>53</v>
      </c>
      <c r="C58" s="1">
        <v>20000000</v>
      </c>
      <c r="D58" s="1">
        <v>30000000</v>
      </c>
      <c r="E58" s="1">
        <v>20000000</v>
      </c>
      <c r="F58" s="1">
        <v>30000000</v>
      </c>
    </row>
    <row r="59" spans="1:6" x14ac:dyDescent="0.2">
      <c r="A59">
        <v>20.170000000000002</v>
      </c>
      <c r="B59" t="s">
        <v>54</v>
      </c>
      <c r="C59" s="1">
        <v>100000</v>
      </c>
      <c r="D59" s="1">
        <v>200000</v>
      </c>
      <c r="E59" s="1">
        <v>100000</v>
      </c>
      <c r="F59" s="1">
        <v>100000</v>
      </c>
    </row>
    <row r="60" spans="1:6" x14ac:dyDescent="0.2">
      <c r="A60">
        <v>21.486999999999998</v>
      </c>
      <c r="B60" t="s">
        <v>54</v>
      </c>
      <c r="C60" s="1">
        <v>80000</v>
      </c>
      <c r="D60" s="1">
        <v>200000</v>
      </c>
      <c r="E60" s="1">
        <v>90000</v>
      </c>
      <c r="F60" s="1">
        <v>90000</v>
      </c>
    </row>
    <row r="61" spans="1:6" x14ac:dyDescent="0.2">
      <c r="A61">
        <v>22.009</v>
      </c>
      <c r="B61" t="s">
        <v>54</v>
      </c>
      <c r="C61" s="1">
        <v>70000</v>
      </c>
      <c r="D61" s="1">
        <v>100000</v>
      </c>
      <c r="E61" s="1">
        <v>60000</v>
      </c>
      <c r="F61" s="1">
        <v>100000</v>
      </c>
    </row>
    <row r="62" spans="1:6" x14ac:dyDescent="0.2">
      <c r="A62">
        <v>21.021999999999998</v>
      </c>
      <c r="B62" t="s">
        <v>54</v>
      </c>
      <c r="C62" s="1">
        <v>30000</v>
      </c>
      <c r="D62" s="1">
        <v>80000</v>
      </c>
      <c r="E62" s="1">
        <v>40000</v>
      </c>
      <c r="F62" s="1">
        <v>50000</v>
      </c>
    </row>
    <row r="63" spans="1:6" x14ac:dyDescent="0.2">
      <c r="A63">
        <v>20.184000000000001</v>
      </c>
      <c r="B63" t="s">
        <v>55</v>
      </c>
      <c r="C63" s="1">
        <v>400000</v>
      </c>
      <c r="D63" s="1">
        <v>700000</v>
      </c>
      <c r="E63" s="1">
        <v>700000</v>
      </c>
      <c r="F63" s="1">
        <v>500000</v>
      </c>
    </row>
    <row r="64" spans="1:6" x14ac:dyDescent="0.2">
      <c r="A64">
        <v>20.724</v>
      </c>
      <c r="B64" t="s">
        <v>55</v>
      </c>
      <c r="C64" s="1">
        <v>200000</v>
      </c>
      <c r="D64" s="1">
        <v>400000</v>
      </c>
      <c r="E64" s="1">
        <v>200000</v>
      </c>
      <c r="F64" s="1">
        <v>200000</v>
      </c>
    </row>
    <row r="65" spans="1:6" x14ac:dyDescent="0.2">
      <c r="A65">
        <v>18.451000000000001</v>
      </c>
      <c r="B65" t="s">
        <v>56</v>
      </c>
      <c r="C65" s="1">
        <v>5000000</v>
      </c>
      <c r="D65" s="1">
        <v>10000000</v>
      </c>
      <c r="E65" s="1">
        <v>10000000</v>
      </c>
      <c r="F65" s="1">
        <v>10000000</v>
      </c>
    </row>
    <row r="66" spans="1:6" x14ac:dyDescent="0.2">
      <c r="A66">
        <v>18.803000000000001</v>
      </c>
      <c r="B66" t="s">
        <v>57</v>
      </c>
      <c r="C66" s="1">
        <v>2000000</v>
      </c>
      <c r="D66" s="1">
        <v>8000000</v>
      </c>
      <c r="E66" s="1">
        <v>4000000</v>
      </c>
      <c r="F66" s="1">
        <v>5000000</v>
      </c>
    </row>
    <row r="67" spans="1:6" x14ac:dyDescent="0.2">
      <c r="A67">
        <v>19.13</v>
      </c>
      <c r="B67" t="s">
        <v>58</v>
      </c>
      <c r="C67" s="1">
        <v>200000000</v>
      </c>
      <c r="D67" s="1">
        <v>500000000</v>
      </c>
      <c r="E67" s="1">
        <v>300000000</v>
      </c>
      <c r="F67" s="1">
        <v>500000000</v>
      </c>
    </row>
    <row r="68" spans="1:6" x14ac:dyDescent="0.2">
      <c r="A68">
        <v>17.588999999999999</v>
      </c>
      <c r="B68" t="s">
        <v>59</v>
      </c>
      <c r="C68" s="1">
        <v>2000000</v>
      </c>
      <c r="D68" s="1">
        <v>6000000</v>
      </c>
      <c r="E68" s="1">
        <v>3000000</v>
      </c>
      <c r="F68" s="1">
        <v>4000000</v>
      </c>
    </row>
    <row r="69" spans="1:6" x14ac:dyDescent="0.2">
      <c r="A69">
        <v>17.75</v>
      </c>
      <c r="B69" t="s">
        <v>59</v>
      </c>
      <c r="C69" s="1">
        <v>4000000</v>
      </c>
      <c r="D69" s="1">
        <v>7000000</v>
      </c>
      <c r="E69" s="1">
        <v>6000000</v>
      </c>
      <c r="F69" s="1">
        <v>6000000</v>
      </c>
    </row>
    <row r="70" spans="1:6" x14ac:dyDescent="0.2">
      <c r="A70">
        <v>17.940999999999999</v>
      </c>
      <c r="B70" t="s">
        <v>59</v>
      </c>
      <c r="C70" s="1">
        <v>2000000</v>
      </c>
      <c r="D70" s="1">
        <v>5000000</v>
      </c>
      <c r="E70" s="1">
        <v>4000000</v>
      </c>
      <c r="F70" s="1">
        <v>4000000</v>
      </c>
    </row>
    <row r="71" spans="1:6" x14ac:dyDescent="0.2">
      <c r="A71">
        <v>17.850999999999999</v>
      </c>
      <c r="B71" t="s">
        <v>60</v>
      </c>
      <c r="C71" s="1">
        <v>20000000</v>
      </c>
      <c r="D71" s="1">
        <v>50000000</v>
      </c>
      <c r="E71" s="1">
        <v>20000000</v>
      </c>
      <c r="F71" s="1">
        <v>30000000</v>
      </c>
    </row>
    <row r="72" spans="1:6" x14ac:dyDescent="0.2">
      <c r="A72">
        <v>19.959</v>
      </c>
      <c r="B72" t="s">
        <v>61</v>
      </c>
      <c r="C72" s="1">
        <v>600000</v>
      </c>
      <c r="D72" s="1">
        <v>1000000</v>
      </c>
      <c r="E72" s="1">
        <v>900000</v>
      </c>
      <c r="F72" s="1">
        <v>900000</v>
      </c>
    </row>
    <row r="73" spans="1:6" x14ac:dyDescent="0.2">
      <c r="A73">
        <v>20.484000000000002</v>
      </c>
      <c r="B73" t="s">
        <v>61</v>
      </c>
      <c r="C73" s="1">
        <v>1000000</v>
      </c>
      <c r="D73" s="1">
        <v>2000000</v>
      </c>
      <c r="E73" s="1">
        <v>2000000</v>
      </c>
      <c r="F73" s="1">
        <v>1000000</v>
      </c>
    </row>
    <row r="74" spans="1:6" x14ac:dyDescent="0.2">
      <c r="A74">
        <v>19.425999999999998</v>
      </c>
      <c r="B74" t="s">
        <v>62</v>
      </c>
      <c r="C74" s="1">
        <v>600000</v>
      </c>
      <c r="D74" s="1">
        <v>2000000</v>
      </c>
      <c r="E74" s="1">
        <v>1000000</v>
      </c>
      <c r="F74" s="1">
        <v>1000000</v>
      </c>
    </row>
    <row r="75" spans="1:6" x14ac:dyDescent="0.2">
      <c r="A75">
        <v>19.954000000000001</v>
      </c>
      <c r="B75" t="s">
        <v>62</v>
      </c>
      <c r="C75" s="1">
        <v>2000000</v>
      </c>
      <c r="D75" s="1">
        <v>6000000</v>
      </c>
      <c r="E75" s="1">
        <v>4000000</v>
      </c>
      <c r="F75" s="1">
        <v>4000000</v>
      </c>
    </row>
    <row r="76" spans="1:6" x14ac:dyDescent="0.2">
      <c r="A76">
        <v>19.443999999999999</v>
      </c>
      <c r="B76" t="s">
        <v>63</v>
      </c>
      <c r="C76" s="1">
        <v>3000000</v>
      </c>
      <c r="D76" s="1">
        <v>8000000</v>
      </c>
      <c r="E76" s="1">
        <v>4000000</v>
      </c>
      <c r="F76" s="1">
        <v>5000000</v>
      </c>
    </row>
    <row r="77" spans="1:6" x14ac:dyDescent="0.2">
      <c r="A77">
        <v>18.831</v>
      </c>
      <c r="B77" t="s">
        <v>64</v>
      </c>
      <c r="C77" s="1">
        <v>1000000</v>
      </c>
      <c r="D77" s="1">
        <v>4000000</v>
      </c>
      <c r="E77" s="1">
        <v>3000000</v>
      </c>
      <c r="F77" s="1">
        <v>3000000</v>
      </c>
    </row>
    <row r="78" spans="1:6" x14ac:dyDescent="0.2">
      <c r="A78">
        <v>19.687999999999999</v>
      </c>
      <c r="B78" t="s">
        <v>65</v>
      </c>
      <c r="C78" s="1">
        <v>20000000</v>
      </c>
      <c r="D78" s="1">
        <v>30000000</v>
      </c>
      <c r="E78" s="1">
        <v>20000000</v>
      </c>
      <c r="F78" s="1">
        <v>20000000</v>
      </c>
    </row>
    <row r="79" spans="1:6" x14ac:dyDescent="0.2">
      <c r="A79">
        <v>20.216999999999999</v>
      </c>
      <c r="B79" t="s">
        <v>65</v>
      </c>
      <c r="C79" s="1">
        <v>30000000</v>
      </c>
      <c r="D79" s="1">
        <v>30000000</v>
      </c>
      <c r="E79" s="1">
        <v>40000000</v>
      </c>
      <c r="F79" s="1">
        <v>30000000</v>
      </c>
    </row>
    <row r="80" spans="1:6" x14ac:dyDescent="0.2">
      <c r="A80">
        <v>19.138999999999999</v>
      </c>
      <c r="B80" t="s">
        <v>65</v>
      </c>
      <c r="C80" s="1">
        <v>2000000</v>
      </c>
      <c r="D80" s="1">
        <v>5000000</v>
      </c>
      <c r="E80" s="1">
        <v>3000000</v>
      </c>
      <c r="F80" s="1">
        <v>3000000</v>
      </c>
    </row>
    <row r="81" spans="1:6" x14ac:dyDescent="0.2">
      <c r="A81">
        <v>19.027999999999999</v>
      </c>
      <c r="B81" t="s">
        <v>66</v>
      </c>
      <c r="C81" s="1">
        <v>300000</v>
      </c>
      <c r="D81" s="1">
        <v>300000</v>
      </c>
      <c r="E81" s="1">
        <v>400000</v>
      </c>
      <c r="F81" s="1">
        <v>300000</v>
      </c>
    </row>
    <row r="82" spans="1:6" x14ac:dyDescent="0.2">
      <c r="A82">
        <v>19.651</v>
      </c>
      <c r="B82" t="s">
        <v>66</v>
      </c>
      <c r="C82" s="1">
        <v>1000000</v>
      </c>
      <c r="D82" s="1">
        <v>1000000</v>
      </c>
      <c r="E82" s="1">
        <v>1000000</v>
      </c>
      <c r="F82" s="1">
        <v>1000000</v>
      </c>
    </row>
    <row r="83" spans="1:6" x14ac:dyDescent="0.2">
      <c r="A83">
        <v>20.216000000000001</v>
      </c>
      <c r="B83" t="s">
        <v>66</v>
      </c>
      <c r="C83" s="1">
        <v>300000</v>
      </c>
      <c r="D83" s="1">
        <v>400000</v>
      </c>
      <c r="E83" s="1">
        <v>500000</v>
      </c>
      <c r="F83" s="1">
        <v>400000</v>
      </c>
    </row>
    <row r="84" spans="1:6" x14ac:dyDescent="0.2">
      <c r="A84">
        <v>20.747</v>
      </c>
      <c r="B84" t="s">
        <v>66</v>
      </c>
      <c r="C84" s="1">
        <v>600000</v>
      </c>
      <c r="D84" s="1">
        <v>800000</v>
      </c>
      <c r="E84" s="1">
        <v>700000</v>
      </c>
      <c r="F84" s="1">
        <v>500000</v>
      </c>
    </row>
    <row r="85" spans="1:6" x14ac:dyDescent="0.2">
      <c r="A85">
        <v>21.24</v>
      </c>
      <c r="B85" t="s">
        <v>66</v>
      </c>
      <c r="C85" s="1">
        <v>400000</v>
      </c>
      <c r="D85" s="1">
        <v>800000</v>
      </c>
      <c r="E85" s="1">
        <v>600000</v>
      </c>
      <c r="F85" s="1">
        <v>500000</v>
      </c>
    </row>
    <row r="86" spans="1:6" x14ac:dyDescent="0.2">
      <c r="A86">
        <v>19.472999999999999</v>
      </c>
      <c r="B86" t="s">
        <v>67</v>
      </c>
      <c r="C86" s="1">
        <v>800000</v>
      </c>
      <c r="D86" s="1">
        <v>1000000</v>
      </c>
      <c r="E86" s="1">
        <v>800000</v>
      </c>
      <c r="F86" s="1">
        <v>800000</v>
      </c>
    </row>
    <row r="87" spans="1:6" x14ac:dyDescent="0.2">
      <c r="A87">
        <v>20.164999999999999</v>
      </c>
      <c r="B87" t="s">
        <v>68</v>
      </c>
      <c r="C87" s="1">
        <v>400000</v>
      </c>
      <c r="D87" s="1">
        <v>700000</v>
      </c>
      <c r="E87" s="1">
        <v>600000</v>
      </c>
      <c r="F87" s="1">
        <v>500000</v>
      </c>
    </row>
    <row r="88" spans="1:6" x14ac:dyDescent="0.2">
      <c r="A88">
        <v>19.649000000000001</v>
      </c>
      <c r="B88" t="s">
        <v>68</v>
      </c>
      <c r="C88" s="1">
        <v>300000</v>
      </c>
      <c r="D88" s="1">
        <v>300000</v>
      </c>
      <c r="E88" s="1">
        <v>200000</v>
      </c>
      <c r="F88" s="1">
        <v>200000</v>
      </c>
    </row>
    <row r="89" spans="1:6" x14ac:dyDescent="0.2">
      <c r="A89">
        <v>21.25</v>
      </c>
      <c r="B89" t="s">
        <v>68</v>
      </c>
      <c r="C89" s="1">
        <v>100000</v>
      </c>
      <c r="D89" s="1">
        <v>200000</v>
      </c>
      <c r="E89" s="1">
        <v>200000</v>
      </c>
      <c r="F89" s="1">
        <v>100000</v>
      </c>
    </row>
    <row r="90" spans="1:6" x14ac:dyDescent="0.2">
      <c r="A90">
        <v>21.725000000000001</v>
      </c>
      <c r="B90" t="s">
        <v>68</v>
      </c>
      <c r="C90" s="1">
        <v>100000</v>
      </c>
      <c r="D90" s="1">
        <v>300000</v>
      </c>
      <c r="E90" s="1">
        <v>200000</v>
      </c>
      <c r="F90" s="1">
        <v>200000</v>
      </c>
    </row>
    <row r="91" spans="1:6" x14ac:dyDescent="0.2">
      <c r="A91">
        <v>19.146000000000001</v>
      </c>
      <c r="B91" t="s">
        <v>69</v>
      </c>
      <c r="C91" s="1">
        <v>20000000</v>
      </c>
      <c r="D91" s="1">
        <v>50000000</v>
      </c>
      <c r="E91" s="1">
        <v>30000000</v>
      </c>
      <c r="F91" s="1">
        <v>30000000</v>
      </c>
    </row>
    <row r="92" spans="1:6" x14ac:dyDescent="0.2">
      <c r="A92">
        <v>19.695</v>
      </c>
      <c r="B92" t="s">
        <v>69</v>
      </c>
      <c r="C92" s="1">
        <v>60000000</v>
      </c>
      <c r="D92" s="1">
        <v>100000000</v>
      </c>
      <c r="E92" s="1">
        <v>80000000</v>
      </c>
      <c r="F92" s="1">
        <v>60000000</v>
      </c>
    </row>
    <row r="93" spans="1:6" x14ac:dyDescent="0.2">
      <c r="A93">
        <v>19.036999999999999</v>
      </c>
      <c r="B93" t="s">
        <v>70</v>
      </c>
      <c r="C93" s="1">
        <v>1000000</v>
      </c>
      <c r="D93" s="1">
        <v>1000000</v>
      </c>
      <c r="E93" s="1">
        <v>2000000</v>
      </c>
      <c r="F93" s="1">
        <v>2000000</v>
      </c>
    </row>
    <row r="94" spans="1:6" x14ac:dyDescent="0.2">
      <c r="A94">
        <v>19.687999999999999</v>
      </c>
      <c r="B94" t="s">
        <v>70</v>
      </c>
      <c r="C94" s="1">
        <v>600000</v>
      </c>
      <c r="D94" s="1">
        <v>900000</v>
      </c>
      <c r="E94" s="1">
        <v>600000</v>
      </c>
      <c r="F94" s="1">
        <v>600000</v>
      </c>
    </row>
    <row r="95" spans="1:6" x14ac:dyDescent="0.2">
      <c r="A95">
        <v>20.239000000000001</v>
      </c>
      <c r="B95" t="s">
        <v>70</v>
      </c>
      <c r="C95" s="1">
        <v>2000000</v>
      </c>
      <c r="D95" s="1">
        <v>3000000</v>
      </c>
      <c r="E95" s="1">
        <v>2000000</v>
      </c>
      <c r="F95" s="1">
        <v>2000000</v>
      </c>
    </row>
    <row r="96" spans="1:6" x14ac:dyDescent="0.2">
      <c r="A96">
        <v>20.754999999999999</v>
      </c>
      <c r="B96" t="s">
        <v>70</v>
      </c>
      <c r="C96" s="1">
        <v>2000000</v>
      </c>
      <c r="D96" s="1">
        <v>3000000</v>
      </c>
      <c r="E96" s="1">
        <v>2000000</v>
      </c>
      <c r="F96" s="1">
        <v>2000000</v>
      </c>
    </row>
    <row r="97" spans="1:6" x14ac:dyDescent="0.2">
      <c r="A97">
        <v>18.675000000000001</v>
      </c>
      <c r="B97" t="s">
        <v>71</v>
      </c>
      <c r="C97" s="1">
        <v>2000000</v>
      </c>
      <c r="D97" s="1">
        <v>3000000</v>
      </c>
      <c r="E97" s="1">
        <v>2000000</v>
      </c>
      <c r="F97" s="1">
        <v>3000000</v>
      </c>
    </row>
    <row r="98" spans="1:6" x14ac:dyDescent="0.2">
      <c r="A98">
        <v>18.945</v>
      </c>
      <c r="B98" t="s">
        <v>71</v>
      </c>
      <c r="C98" s="1">
        <v>3000000</v>
      </c>
      <c r="D98" s="1">
        <v>4000000</v>
      </c>
      <c r="E98" s="1">
        <v>3000000</v>
      </c>
      <c r="F98" s="1">
        <v>3000000</v>
      </c>
    </row>
    <row r="99" spans="1:6" x14ac:dyDescent="0.2">
      <c r="A99">
        <v>19.241</v>
      </c>
      <c r="B99" t="s">
        <v>71</v>
      </c>
      <c r="C99" s="1">
        <v>5000000</v>
      </c>
      <c r="D99" s="1">
        <v>6000000</v>
      </c>
      <c r="E99" s="1">
        <v>4000000</v>
      </c>
      <c r="F99" s="1">
        <v>5000000</v>
      </c>
    </row>
    <row r="100" spans="1:6" x14ac:dyDescent="0.2">
      <c r="A100">
        <v>19.582999999999998</v>
      </c>
      <c r="B100" t="s">
        <v>71</v>
      </c>
      <c r="C100" s="1">
        <v>2000000</v>
      </c>
      <c r="D100" s="1">
        <v>3000000</v>
      </c>
      <c r="E100" s="1">
        <v>2000000</v>
      </c>
      <c r="F100" s="1">
        <v>2000000</v>
      </c>
    </row>
    <row r="101" spans="1:6" x14ac:dyDescent="0.2">
      <c r="A101">
        <v>19.850999999999999</v>
      </c>
      <c r="B101" t="s">
        <v>71</v>
      </c>
      <c r="C101" s="1">
        <v>2000000</v>
      </c>
      <c r="D101" s="1">
        <v>3000000</v>
      </c>
      <c r="E101" s="1">
        <v>2000000</v>
      </c>
      <c r="F101" s="1">
        <v>2000000</v>
      </c>
    </row>
    <row r="102" spans="1:6" x14ac:dyDescent="0.2">
      <c r="A102">
        <v>18.684999999999999</v>
      </c>
      <c r="B102" t="s">
        <v>72</v>
      </c>
      <c r="C102" s="1">
        <v>10000000</v>
      </c>
      <c r="D102" s="1">
        <v>20000000</v>
      </c>
      <c r="E102" s="1">
        <v>10000000</v>
      </c>
      <c r="F102" s="1">
        <v>20000000</v>
      </c>
    </row>
    <row r="103" spans="1:6" x14ac:dyDescent="0.2">
      <c r="A103">
        <v>18.948</v>
      </c>
      <c r="B103" t="s">
        <v>72</v>
      </c>
      <c r="C103" s="1">
        <v>4000000</v>
      </c>
      <c r="D103" s="1">
        <v>8000000</v>
      </c>
      <c r="E103" s="1">
        <v>4000000</v>
      </c>
      <c r="F103" s="1">
        <v>4000000</v>
      </c>
    </row>
    <row r="104" spans="1:6" x14ac:dyDescent="0.2">
      <c r="A104">
        <v>19.253</v>
      </c>
      <c r="B104" t="s">
        <v>72</v>
      </c>
      <c r="C104" s="1">
        <v>10000000</v>
      </c>
      <c r="D104" s="1">
        <v>20000000</v>
      </c>
      <c r="E104" s="1">
        <v>10000000</v>
      </c>
      <c r="F104" s="1">
        <v>9000000</v>
      </c>
    </row>
    <row r="105" spans="1:6" x14ac:dyDescent="0.2">
      <c r="A105">
        <v>19.146000000000001</v>
      </c>
      <c r="B105" t="s">
        <v>73</v>
      </c>
      <c r="C105" s="1">
        <v>70000000</v>
      </c>
      <c r="D105" s="1">
        <v>200000000</v>
      </c>
      <c r="E105" s="1">
        <v>100000000</v>
      </c>
      <c r="F105" s="1">
        <v>100000000</v>
      </c>
    </row>
    <row r="106" spans="1:6" x14ac:dyDescent="0.2">
      <c r="A106">
        <v>18.593</v>
      </c>
      <c r="B106" t="s">
        <v>74</v>
      </c>
      <c r="C106" s="1">
        <v>30000000</v>
      </c>
      <c r="D106" s="1">
        <v>100000000</v>
      </c>
      <c r="E106" s="1">
        <v>50000000</v>
      </c>
      <c r="F106" s="1">
        <v>70000000</v>
      </c>
    </row>
    <row r="107" spans="1:6" x14ac:dyDescent="0.2">
      <c r="A107">
        <v>18.962</v>
      </c>
      <c r="B107" t="s">
        <v>74</v>
      </c>
      <c r="C107" s="1">
        <v>20000000</v>
      </c>
      <c r="D107" s="1">
        <v>30000000</v>
      </c>
      <c r="E107" s="1">
        <v>20000000</v>
      </c>
      <c r="F107" s="1">
        <v>30000000</v>
      </c>
    </row>
    <row r="108" spans="1:6" x14ac:dyDescent="0.2">
      <c r="A108">
        <v>19.163</v>
      </c>
      <c r="B108" t="s">
        <v>75</v>
      </c>
      <c r="C108" s="1">
        <v>3000000</v>
      </c>
      <c r="D108" s="1">
        <v>5000000</v>
      </c>
      <c r="E108" s="1">
        <v>4000000</v>
      </c>
      <c r="F108" s="1">
        <v>4000000</v>
      </c>
    </row>
    <row r="109" spans="1:6" x14ac:dyDescent="0.2">
      <c r="A109">
        <v>19.742999999999999</v>
      </c>
      <c r="B109" t="s">
        <v>75</v>
      </c>
      <c r="C109" s="1">
        <v>6000000</v>
      </c>
      <c r="D109" s="1">
        <v>10000000</v>
      </c>
      <c r="E109" s="1">
        <v>6000000</v>
      </c>
      <c r="F109" s="1">
        <v>6000000</v>
      </c>
    </row>
    <row r="110" spans="1:6" x14ac:dyDescent="0.2">
      <c r="A110">
        <v>20.114999999999998</v>
      </c>
      <c r="B110" t="s">
        <v>75</v>
      </c>
      <c r="C110" s="1">
        <v>2000000</v>
      </c>
      <c r="D110" s="1">
        <v>5000000</v>
      </c>
      <c r="E110" s="1">
        <v>3000000</v>
      </c>
      <c r="F110" s="1">
        <v>4000000</v>
      </c>
    </row>
    <row r="111" spans="1:6" x14ac:dyDescent="0.2">
      <c r="A111">
        <v>18.097999999999999</v>
      </c>
      <c r="B111" t="s">
        <v>76</v>
      </c>
      <c r="C111" s="1">
        <v>8000000</v>
      </c>
      <c r="D111" s="1">
        <v>20000000</v>
      </c>
      <c r="E111" s="1">
        <v>7000000</v>
      </c>
      <c r="F111" s="1">
        <v>10000000</v>
      </c>
    </row>
    <row r="112" spans="1:6" x14ac:dyDescent="0.2">
      <c r="A112">
        <v>18.692</v>
      </c>
      <c r="B112" t="s">
        <v>76</v>
      </c>
      <c r="C112" s="1">
        <v>40000000</v>
      </c>
      <c r="D112" s="1">
        <v>70000000</v>
      </c>
      <c r="E112" s="1">
        <v>40000000</v>
      </c>
      <c r="F112" s="1">
        <v>40000000</v>
      </c>
    </row>
    <row r="113" spans="1:6" x14ac:dyDescent="0.2">
      <c r="A113">
        <v>19.13</v>
      </c>
      <c r="B113" t="s">
        <v>77</v>
      </c>
      <c r="C113" s="1">
        <v>400000</v>
      </c>
      <c r="D113" s="1">
        <v>800000</v>
      </c>
      <c r="E113" s="1">
        <v>600000</v>
      </c>
      <c r="F113" s="1">
        <v>800000</v>
      </c>
    </row>
    <row r="114" spans="1:6" x14ac:dyDescent="0.2">
      <c r="A114">
        <v>20.013999999999999</v>
      </c>
      <c r="B114" t="s">
        <v>77</v>
      </c>
      <c r="C114" s="1">
        <v>600000</v>
      </c>
      <c r="D114" s="1">
        <v>1000000</v>
      </c>
      <c r="E114" s="1">
        <v>800000</v>
      </c>
      <c r="F114" s="1">
        <v>900000</v>
      </c>
    </row>
    <row r="115" spans="1:6" x14ac:dyDescent="0.2">
      <c r="A115">
        <v>19.120999999999999</v>
      </c>
      <c r="B115" t="s">
        <v>78</v>
      </c>
      <c r="C115" s="1">
        <v>200000</v>
      </c>
      <c r="D115" s="1">
        <v>700000</v>
      </c>
      <c r="E115" s="1">
        <v>500000</v>
      </c>
      <c r="F115" s="1">
        <v>500000</v>
      </c>
    </row>
    <row r="116" spans="1:6" x14ac:dyDescent="0.2">
      <c r="A116">
        <v>19.353000000000002</v>
      </c>
      <c r="B116" t="s">
        <v>78</v>
      </c>
      <c r="C116" s="1">
        <v>200000</v>
      </c>
      <c r="D116" s="1">
        <v>400000</v>
      </c>
      <c r="E116" s="1">
        <v>300000</v>
      </c>
      <c r="F116" s="1">
        <v>300000</v>
      </c>
    </row>
    <row r="117" spans="1:6" x14ac:dyDescent="0.2">
      <c r="A117">
        <v>19.664999999999999</v>
      </c>
      <c r="B117" t="s">
        <v>78</v>
      </c>
      <c r="C117" s="1">
        <v>1000000</v>
      </c>
      <c r="D117" s="1">
        <v>2000000</v>
      </c>
      <c r="E117" s="1">
        <v>1000000</v>
      </c>
      <c r="F117" s="1">
        <v>2000000</v>
      </c>
    </row>
    <row r="118" spans="1:6" x14ac:dyDescent="0.2">
      <c r="A118">
        <v>21.989000000000001</v>
      </c>
      <c r="B118" t="s">
        <v>78</v>
      </c>
      <c r="C118" s="1">
        <v>200000</v>
      </c>
      <c r="D118" s="1">
        <v>400000</v>
      </c>
      <c r="E118" s="1">
        <v>200000</v>
      </c>
      <c r="F118" s="1">
        <v>300000</v>
      </c>
    </row>
    <row r="119" spans="1:6" x14ac:dyDescent="0.2">
      <c r="A119">
        <v>19.146000000000001</v>
      </c>
      <c r="B119" t="s">
        <v>79</v>
      </c>
      <c r="C119" s="1">
        <v>900000</v>
      </c>
      <c r="D119" s="1">
        <v>1000000</v>
      </c>
      <c r="E119" s="1">
        <v>1000000</v>
      </c>
      <c r="F119" s="1">
        <v>1000000</v>
      </c>
    </row>
    <row r="120" spans="1:6" x14ac:dyDescent="0.2">
      <c r="A120">
        <v>19.71</v>
      </c>
      <c r="B120" t="s">
        <v>79</v>
      </c>
      <c r="C120" s="1">
        <v>3000000</v>
      </c>
      <c r="D120" s="1">
        <v>4000000</v>
      </c>
      <c r="E120" s="1">
        <v>3000000</v>
      </c>
      <c r="F120" s="1">
        <v>2000000</v>
      </c>
    </row>
    <row r="121" spans="1:6" x14ac:dyDescent="0.2">
      <c r="A121">
        <v>20.241</v>
      </c>
      <c r="B121" t="s">
        <v>79</v>
      </c>
      <c r="C121" s="1">
        <v>4000000</v>
      </c>
      <c r="D121" s="1">
        <v>7000000</v>
      </c>
      <c r="E121" s="1">
        <v>4000000</v>
      </c>
      <c r="F121" s="1">
        <v>4000000</v>
      </c>
    </row>
    <row r="122" spans="1:6" x14ac:dyDescent="0.2">
      <c r="A122">
        <v>19.13</v>
      </c>
      <c r="B122" t="s">
        <v>80</v>
      </c>
      <c r="C122" s="1">
        <v>1000000</v>
      </c>
      <c r="D122" s="1">
        <v>3000000</v>
      </c>
      <c r="E122" s="1">
        <v>2000000</v>
      </c>
      <c r="F122" s="1">
        <v>3000000</v>
      </c>
    </row>
    <row r="123" spans="1:6" x14ac:dyDescent="0.2">
      <c r="A123">
        <v>19.661000000000001</v>
      </c>
      <c r="B123" t="s">
        <v>80</v>
      </c>
      <c r="C123" s="1">
        <v>5000000</v>
      </c>
      <c r="D123" s="1">
        <v>10000000</v>
      </c>
      <c r="E123" s="1">
        <v>8000000</v>
      </c>
      <c r="F123" s="1">
        <v>8000000</v>
      </c>
    </row>
    <row r="124" spans="1:6" x14ac:dyDescent="0.2">
      <c r="A124">
        <v>18.702000000000002</v>
      </c>
      <c r="B124" t="s">
        <v>81</v>
      </c>
      <c r="C124" s="1">
        <v>700000</v>
      </c>
      <c r="D124" s="1">
        <v>900000</v>
      </c>
      <c r="E124" s="1">
        <v>600000</v>
      </c>
      <c r="F124" s="1">
        <v>600000</v>
      </c>
    </row>
    <row r="125" spans="1:6" x14ac:dyDescent="0.2">
      <c r="A125">
        <v>18.954999999999998</v>
      </c>
      <c r="B125" t="s">
        <v>81</v>
      </c>
      <c r="C125" s="1">
        <v>300000</v>
      </c>
      <c r="D125" s="1">
        <v>700000</v>
      </c>
      <c r="E125" s="1">
        <v>400000</v>
      </c>
      <c r="F125" s="1">
        <v>400000</v>
      </c>
    </row>
    <row r="126" spans="1:6" x14ac:dyDescent="0.2">
      <c r="A126">
        <v>19.084</v>
      </c>
      <c r="B126" t="s">
        <v>81</v>
      </c>
      <c r="C126" s="1">
        <v>600000</v>
      </c>
      <c r="D126" s="1">
        <v>400000</v>
      </c>
      <c r="E126" s="1">
        <v>300000</v>
      </c>
      <c r="F126" s="1">
        <v>300000</v>
      </c>
    </row>
    <row r="127" spans="1:6" x14ac:dyDescent="0.2">
      <c r="A127">
        <v>19.285</v>
      </c>
      <c r="B127" t="s">
        <v>81</v>
      </c>
      <c r="C127" s="1">
        <v>1000000</v>
      </c>
      <c r="D127" s="1">
        <v>1000000</v>
      </c>
      <c r="E127" s="1">
        <v>700000</v>
      </c>
      <c r="F127" s="1">
        <v>800000</v>
      </c>
    </row>
    <row r="128" spans="1:6" x14ac:dyDescent="0.2">
      <c r="A128">
        <v>19.666</v>
      </c>
      <c r="B128" t="s">
        <v>81</v>
      </c>
      <c r="C128" s="1">
        <v>700000</v>
      </c>
      <c r="D128" s="1">
        <v>400000</v>
      </c>
      <c r="E128" s="1">
        <v>300000</v>
      </c>
      <c r="F128" s="1">
        <v>300000</v>
      </c>
    </row>
    <row r="129" spans="1:6" x14ac:dyDescent="0.2">
      <c r="A129">
        <v>19.844999999999999</v>
      </c>
      <c r="B129" t="s">
        <v>81</v>
      </c>
      <c r="C129" s="1">
        <v>800000</v>
      </c>
      <c r="D129" s="1">
        <v>900000</v>
      </c>
      <c r="E129" s="1">
        <v>500000</v>
      </c>
      <c r="F129" s="1">
        <v>500000</v>
      </c>
    </row>
    <row r="130" spans="1:6" x14ac:dyDescent="0.2">
      <c r="A130">
        <v>18.103000000000002</v>
      </c>
      <c r="B130" t="s">
        <v>82</v>
      </c>
      <c r="C130" s="1">
        <v>3000000</v>
      </c>
      <c r="D130" s="1">
        <v>6000000</v>
      </c>
      <c r="E130" s="1">
        <v>3000000</v>
      </c>
      <c r="F130" s="1">
        <v>4000000</v>
      </c>
    </row>
    <row r="131" spans="1:6" x14ac:dyDescent="0.2">
      <c r="A131">
        <v>18.489000000000001</v>
      </c>
      <c r="B131" t="s">
        <v>82</v>
      </c>
      <c r="C131" s="1">
        <v>3000000</v>
      </c>
      <c r="D131" s="1">
        <v>3000000</v>
      </c>
      <c r="E131" s="1">
        <v>2000000</v>
      </c>
      <c r="F131" s="1">
        <v>2000000</v>
      </c>
    </row>
    <row r="132" spans="1:6" x14ac:dyDescent="0.2">
      <c r="A132">
        <v>18.748000000000001</v>
      </c>
      <c r="B132" t="s">
        <v>82</v>
      </c>
      <c r="C132" s="1">
        <v>2000000</v>
      </c>
      <c r="D132" s="1">
        <v>2000000</v>
      </c>
      <c r="E132" s="1">
        <v>1000000</v>
      </c>
      <c r="F132" s="1">
        <v>1000000</v>
      </c>
    </row>
    <row r="133" spans="1:6" x14ac:dyDescent="0.2">
      <c r="A133">
        <v>19.158000000000001</v>
      </c>
      <c r="B133" t="s">
        <v>82</v>
      </c>
      <c r="C133" s="1">
        <v>1000000</v>
      </c>
      <c r="D133" s="1">
        <v>2000000</v>
      </c>
      <c r="E133" s="1">
        <v>1000000</v>
      </c>
      <c r="F133" s="1">
        <v>2000000</v>
      </c>
    </row>
    <row r="134" spans="1:6" x14ac:dyDescent="0.2">
      <c r="A134">
        <v>17.635000000000002</v>
      </c>
      <c r="B134" t="s">
        <v>83</v>
      </c>
      <c r="C134" s="1">
        <v>2000000</v>
      </c>
      <c r="D134" s="1">
        <v>4000000</v>
      </c>
      <c r="E134" s="1">
        <v>2000000</v>
      </c>
      <c r="F134" s="1">
        <v>3000000</v>
      </c>
    </row>
    <row r="135" spans="1:6" x14ac:dyDescent="0.2">
      <c r="A135">
        <v>17.91</v>
      </c>
      <c r="B135" t="s">
        <v>83</v>
      </c>
      <c r="C135" s="1">
        <v>5000000</v>
      </c>
      <c r="D135" s="1">
        <v>7000000</v>
      </c>
      <c r="E135" s="1">
        <v>3000000</v>
      </c>
      <c r="F135" s="1">
        <v>5000000</v>
      </c>
    </row>
    <row r="136" spans="1:6" x14ac:dyDescent="0.2">
      <c r="A136">
        <v>18.22</v>
      </c>
      <c r="B136" t="s">
        <v>83</v>
      </c>
      <c r="C136" s="1">
        <v>3000000</v>
      </c>
      <c r="D136" s="1">
        <v>4000000</v>
      </c>
      <c r="E136" s="1">
        <v>2000000</v>
      </c>
      <c r="F136" s="1">
        <v>3000000</v>
      </c>
    </row>
    <row r="137" spans="1:6" x14ac:dyDescent="0.2">
      <c r="A137">
        <v>18.491</v>
      </c>
      <c r="B137" t="s">
        <v>83</v>
      </c>
      <c r="C137" s="1">
        <v>9000000</v>
      </c>
      <c r="D137" s="1">
        <v>10000000</v>
      </c>
      <c r="E137" s="1">
        <v>6000000</v>
      </c>
      <c r="F137" s="1">
        <v>8000000</v>
      </c>
    </row>
    <row r="138" spans="1:6" x14ac:dyDescent="0.2">
      <c r="A138">
        <v>17.34</v>
      </c>
      <c r="B138" t="s">
        <v>84</v>
      </c>
      <c r="C138" s="1">
        <v>3000000</v>
      </c>
      <c r="D138" s="1">
        <v>7000000</v>
      </c>
      <c r="E138" s="1">
        <v>4000000</v>
      </c>
      <c r="F138" s="1">
        <v>6000000</v>
      </c>
    </row>
    <row r="139" spans="1:6" x14ac:dyDescent="0.2">
      <c r="A139">
        <v>17.609000000000002</v>
      </c>
      <c r="B139" t="s">
        <v>84</v>
      </c>
      <c r="C139" s="1">
        <v>8000000</v>
      </c>
      <c r="D139" s="1">
        <v>10000000</v>
      </c>
      <c r="E139" s="1">
        <v>5000000</v>
      </c>
      <c r="F139" s="1">
        <v>8000000</v>
      </c>
    </row>
    <row r="140" spans="1:6" x14ac:dyDescent="0.2">
      <c r="A140">
        <v>17.885999999999999</v>
      </c>
      <c r="B140" t="s">
        <v>84</v>
      </c>
      <c r="C140" s="1">
        <v>3000000</v>
      </c>
      <c r="D140" s="1">
        <v>5000000</v>
      </c>
      <c r="E140" s="1">
        <v>2000000</v>
      </c>
      <c r="F140" s="1">
        <v>3000000</v>
      </c>
    </row>
    <row r="141" spans="1:6" x14ac:dyDescent="0.2">
      <c r="A141">
        <v>18.221</v>
      </c>
      <c r="B141" t="s">
        <v>84</v>
      </c>
      <c r="C141" s="1">
        <v>10000000</v>
      </c>
      <c r="D141" s="1">
        <v>10000000</v>
      </c>
      <c r="E141" s="1">
        <v>7000000</v>
      </c>
      <c r="F141" s="1">
        <v>8000000</v>
      </c>
    </row>
    <row r="142" spans="1:6" x14ac:dyDescent="0.2">
      <c r="A142">
        <v>17.637</v>
      </c>
      <c r="B142" t="s">
        <v>85</v>
      </c>
      <c r="C142" s="1">
        <v>20000000</v>
      </c>
      <c r="D142" s="1">
        <v>30000000</v>
      </c>
      <c r="E142" s="1">
        <v>20000000</v>
      </c>
      <c r="F142" s="1">
        <v>30000000</v>
      </c>
    </row>
    <row r="143" spans="1:6" x14ac:dyDescent="0.2">
      <c r="A143">
        <v>17.071000000000002</v>
      </c>
      <c r="B143" t="s">
        <v>86</v>
      </c>
      <c r="C143" s="1">
        <v>1000000</v>
      </c>
      <c r="D143" s="1">
        <v>4000000</v>
      </c>
      <c r="E143" s="1">
        <v>2000000</v>
      </c>
      <c r="F143" s="1">
        <v>3000000</v>
      </c>
    </row>
    <row r="144" spans="1:6" x14ac:dyDescent="0.2">
      <c r="A144">
        <v>17.34</v>
      </c>
      <c r="B144" t="s">
        <v>86</v>
      </c>
      <c r="C144" s="1">
        <v>6000000</v>
      </c>
      <c r="D144" s="1">
        <v>10000000</v>
      </c>
      <c r="E144" s="1">
        <v>8000000</v>
      </c>
      <c r="F144" s="1">
        <v>10000000</v>
      </c>
    </row>
    <row r="145" spans="1:6" x14ac:dyDescent="0.2">
      <c r="A145">
        <v>17.885999999999999</v>
      </c>
      <c r="B145" t="s">
        <v>86</v>
      </c>
      <c r="C145" s="1">
        <v>20000000</v>
      </c>
      <c r="D145" s="1">
        <v>30000000</v>
      </c>
      <c r="E145" s="1">
        <v>10000000</v>
      </c>
      <c r="F145" s="1">
        <v>20000000</v>
      </c>
    </row>
    <row r="146" spans="1:6" x14ac:dyDescent="0.2">
      <c r="A146">
        <v>18.207000000000001</v>
      </c>
      <c r="B146" t="s">
        <v>86</v>
      </c>
      <c r="C146" s="1">
        <v>3000000</v>
      </c>
      <c r="D146" s="1">
        <v>5000000</v>
      </c>
      <c r="E146" s="1">
        <v>3000000</v>
      </c>
      <c r="F146" s="1">
        <v>4000000</v>
      </c>
    </row>
    <row r="147" spans="1:6" x14ac:dyDescent="0.2">
      <c r="A147">
        <v>17.34</v>
      </c>
      <c r="B147" t="s">
        <v>87</v>
      </c>
      <c r="C147" s="1">
        <v>20000000</v>
      </c>
      <c r="D147" s="1">
        <v>60000000</v>
      </c>
      <c r="E147" s="1">
        <v>30000000</v>
      </c>
      <c r="F147" s="1">
        <v>50000000</v>
      </c>
    </row>
    <row r="148" spans="1:6" x14ac:dyDescent="0.2">
      <c r="A148">
        <v>17.606000000000002</v>
      </c>
      <c r="B148" t="s">
        <v>88</v>
      </c>
      <c r="C148" s="1">
        <v>30000000</v>
      </c>
      <c r="D148" s="1">
        <v>40000000</v>
      </c>
      <c r="E148" s="1">
        <v>20000000</v>
      </c>
      <c r="F148" s="1">
        <v>30000000</v>
      </c>
    </row>
    <row r="149" spans="1:6" x14ac:dyDescent="0.2">
      <c r="A149">
        <v>19.041</v>
      </c>
      <c r="B149" t="s">
        <v>89</v>
      </c>
      <c r="C149" s="1">
        <v>200000</v>
      </c>
      <c r="D149" s="1">
        <v>200000</v>
      </c>
      <c r="E149" s="1">
        <v>300000</v>
      </c>
      <c r="F149" s="1">
        <v>300000</v>
      </c>
    </row>
    <row r="150" spans="1:6" x14ac:dyDescent="0.2">
      <c r="A150">
        <v>19.664000000000001</v>
      </c>
      <c r="B150" t="s">
        <v>89</v>
      </c>
      <c r="C150" s="1">
        <v>400000</v>
      </c>
      <c r="D150" s="1">
        <v>600000</v>
      </c>
      <c r="E150" s="1">
        <v>600000</v>
      </c>
      <c r="F150" s="1">
        <v>600000</v>
      </c>
    </row>
    <row r="151" spans="1:6" x14ac:dyDescent="0.2">
      <c r="A151">
        <v>19.966999999999999</v>
      </c>
      <c r="B151" t="s">
        <v>89</v>
      </c>
      <c r="C151" s="1">
        <v>200000</v>
      </c>
      <c r="D151" s="1">
        <v>500000</v>
      </c>
      <c r="E151" s="1">
        <v>300000</v>
      </c>
      <c r="F151" s="1">
        <v>300000</v>
      </c>
    </row>
    <row r="152" spans="1:6" x14ac:dyDescent="0.2">
      <c r="A152">
        <v>20.513000000000002</v>
      </c>
      <c r="B152" t="s">
        <v>89</v>
      </c>
      <c r="C152" s="1">
        <v>500000</v>
      </c>
      <c r="D152" s="1">
        <v>1000000</v>
      </c>
      <c r="E152" s="1">
        <v>600000</v>
      </c>
      <c r="F152" s="1">
        <v>700000</v>
      </c>
    </row>
    <row r="153" spans="1:6" x14ac:dyDescent="0.2">
      <c r="A153">
        <v>19.666</v>
      </c>
      <c r="B153" t="s">
        <v>90</v>
      </c>
      <c r="C153" s="1">
        <v>1000000</v>
      </c>
      <c r="D153" s="1">
        <v>2000000</v>
      </c>
      <c r="E153" s="1">
        <v>2000000</v>
      </c>
      <c r="F153" s="1">
        <v>2000000</v>
      </c>
    </row>
    <row r="154" spans="1:6" x14ac:dyDescent="0.2">
      <c r="A154">
        <v>20.183</v>
      </c>
      <c r="B154" t="s">
        <v>90</v>
      </c>
      <c r="C154" s="1">
        <v>2000000</v>
      </c>
      <c r="D154" s="1">
        <v>3000000</v>
      </c>
      <c r="E154" s="1">
        <v>3000000</v>
      </c>
      <c r="F154" s="1">
        <v>2000000</v>
      </c>
    </row>
    <row r="155" spans="1:6" x14ac:dyDescent="0.2">
      <c r="A155">
        <v>18.613</v>
      </c>
      <c r="B155" t="s">
        <v>91</v>
      </c>
      <c r="C155" s="1">
        <v>700000</v>
      </c>
      <c r="D155" s="1">
        <v>2000000</v>
      </c>
      <c r="E155" s="1">
        <v>1000000</v>
      </c>
      <c r="F155" s="1">
        <v>2000000</v>
      </c>
    </row>
    <row r="156" spans="1:6" x14ac:dyDescent="0.2">
      <c r="A156">
        <v>19.14</v>
      </c>
      <c r="B156" t="s">
        <v>91</v>
      </c>
      <c r="C156" s="1">
        <v>400000</v>
      </c>
      <c r="D156" s="1">
        <v>1000000</v>
      </c>
      <c r="E156" s="1">
        <v>700000</v>
      </c>
      <c r="F156" s="1">
        <v>1000000</v>
      </c>
    </row>
    <row r="157" spans="1:6" x14ac:dyDescent="0.2">
      <c r="A157">
        <v>18.041</v>
      </c>
      <c r="B157" t="s">
        <v>92</v>
      </c>
      <c r="C157" s="1">
        <v>300000</v>
      </c>
      <c r="D157" s="1">
        <v>1000000</v>
      </c>
      <c r="E157" s="1">
        <v>600000</v>
      </c>
      <c r="F157" s="1">
        <v>1000000</v>
      </c>
    </row>
    <row r="158" spans="1:6" x14ac:dyDescent="0.2">
      <c r="A158">
        <v>18.43</v>
      </c>
      <c r="B158" t="s">
        <v>92</v>
      </c>
      <c r="C158" s="1">
        <v>700000</v>
      </c>
      <c r="D158" s="1">
        <v>2000000</v>
      </c>
      <c r="E158" s="1">
        <v>1000000</v>
      </c>
      <c r="F158" s="1">
        <v>2000000</v>
      </c>
    </row>
    <row r="159" spans="1:6" x14ac:dyDescent="0.2">
      <c r="A159">
        <v>18.097000000000001</v>
      </c>
      <c r="B159" t="s">
        <v>93</v>
      </c>
      <c r="C159" s="1">
        <v>700000</v>
      </c>
      <c r="D159" s="1">
        <v>2000000</v>
      </c>
      <c r="E159" s="1">
        <v>600000</v>
      </c>
      <c r="F159" s="1">
        <v>1000000</v>
      </c>
    </row>
    <row r="160" spans="1:6" x14ac:dyDescent="0.2">
      <c r="A160">
        <v>18.698</v>
      </c>
      <c r="B160" t="s">
        <v>93</v>
      </c>
      <c r="C160" s="1">
        <v>3000000</v>
      </c>
      <c r="D160" s="1">
        <v>4000000</v>
      </c>
      <c r="E160" s="1">
        <v>2000000</v>
      </c>
      <c r="F160" s="1">
        <v>3000000</v>
      </c>
    </row>
    <row r="161" spans="1:6" x14ac:dyDescent="0.2">
      <c r="A161">
        <v>19.314</v>
      </c>
      <c r="B161" t="s">
        <v>93</v>
      </c>
      <c r="C161" s="1">
        <v>2000000</v>
      </c>
      <c r="D161" s="1">
        <v>3000000</v>
      </c>
      <c r="E161" s="1">
        <v>1000000</v>
      </c>
      <c r="F161" s="1">
        <v>1000000</v>
      </c>
    </row>
    <row r="162" spans="1:6" x14ac:dyDescent="0.2">
      <c r="A162">
        <v>19.117999999999999</v>
      </c>
      <c r="B162" t="s">
        <v>94</v>
      </c>
      <c r="C162" s="1">
        <v>5000000</v>
      </c>
      <c r="D162" s="1">
        <v>20000000</v>
      </c>
      <c r="E162" s="1">
        <v>9000000</v>
      </c>
      <c r="F162" s="1">
        <v>10000000</v>
      </c>
    </row>
    <row r="163" spans="1:6" x14ac:dyDescent="0.2">
      <c r="A163">
        <v>19.137</v>
      </c>
      <c r="B163" t="s">
        <v>95</v>
      </c>
      <c r="C163" s="1">
        <v>700000</v>
      </c>
      <c r="D163" s="1">
        <v>2000000</v>
      </c>
      <c r="E163" s="1">
        <v>900000</v>
      </c>
      <c r="F163" s="1">
        <v>1000000</v>
      </c>
    </row>
    <row r="164" spans="1:6" x14ac:dyDescent="0.2">
      <c r="A164">
        <v>19.699000000000002</v>
      </c>
      <c r="B164" t="s">
        <v>95</v>
      </c>
      <c r="C164" s="1">
        <v>2000000</v>
      </c>
      <c r="D164" s="1">
        <v>3000000</v>
      </c>
      <c r="E164" s="1">
        <v>2000000</v>
      </c>
      <c r="F164" s="1">
        <v>2000000</v>
      </c>
    </row>
    <row r="165" spans="1:6" x14ac:dyDescent="0.2">
      <c r="A165">
        <v>19.664000000000001</v>
      </c>
      <c r="B165" t="s">
        <v>96</v>
      </c>
      <c r="C165" s="1">
        <v>300000</v>
      </c>
      <c r="D165" s="1">
        <v>700000</v>
      </c>
      <c r="E165" s="1">
        <v>600000</v>
      </c>
      <c r="F165" s="1">
        <v>600000</v>
      </c>
    </row>
    <row r="166" spans="1:6" x14ac:dyDescent="0.2">
      <c r="A166">
        <v>19.968</v>
      </c>
      <c r="B166" t="s">
        <v>96</v>
      </c>
      <c r="C166" s="1">
        <v>100000</v>
      </c>
      <c r="D166" s="1">
        <v>300000</v>
      </c>
      <c r="E166" s="1">
        <v>200000</v>
      </c>
      <c r="F166" s="1">
        <v>200000</v>
      </c>
    </row>
    <row r="167" spans="1:6" x14ac:dyDescent="0.2">
      <c r="A167">
        <v>20.222999999999999</v>
      </c>
      <c r="B167" t="s">
        <v>96</v>
      </c>
      <c r="C167" s="1">
        <v>200000</v>
      </c>
      <c r="D167" s="1">
        <v>300000</v>
      </c>
      <c r="E167" s="1">
        <v>200000</v>
      </c>
      <c r="F167" s="1">
        <v>200000</v>
      </c>
    </row>
    <row r="168" spans="1:6" x14ac:dyDescent="0.2">
      <c r="A168">
        <v>18.585000000000001</v>
      </c>
      <c r="B168" t="s">
        <v>97</v>
      </c>
      <c r="C168" s="1">
        <v>6000000</v>
      </c>
      <c r="D168" s="1">
        <v>10000000</v>
      </c>
      <c r="E168" s="1">
        <v>8000000</v>
      </c>
      <c r="F168" s="1">
        <v>10000000</v>
      </c>
    </row>
    <row r="169" spans="1:6" x14ac:dyDescent="0.2">
      <c r="A169">
        <v>18.943999999999999</v>
      </c>
      <c r="B169" t="s">
        <v>97</v>
      </c>
      <c r="C169" s="1">
        <v>4000000</v>
      </c>
      <c r="D169" s="1">
        <v>6000000</v>
      </c>
      <c r="E169" s="1">
        <v>4000000</v>
      </c>
      <c r="F169" s="1">
        <v>5000000</v>
      </c>
    </row>
    <row r="170" spans="1:6" x14ac:dyDescent="0.2">
      <c r="A170">
        <v>19.692</v>
      </c>
      <c r="B170" t="s">
        <v>98</v>
      </c>
      <c r="C170" s="1">
        <v>400000</v>
      </c>
      <c r="D170" s="1">
        <v>800000</v>
      </c>
      <c r="E170" s="1">
        <v>600000</v>
      </c>
      <c r="F170" s="1">
        <v>600000</v>
      </c>
    </row>
    <row r="171" spans="1:6" x14ac:dyDescent="0.2">
      <c r="A171">
        <v>20.228999999999999</v>
      </c>
      <c r="B171" t="s">
        <v>98</v>
      </c>
      <c r="C171" s="1">
        <v>900000</v>
      </c>
      <c r="D171" s="1">
        <v>1000000</v>
      </c>
      <c r="E171" s="1">
        <v>1000000</v>
      </c>
      <c r="F171" s="1">
        <v>1000000</v>
      </c>
    </row>
    <row r="172" spans="1:6" x14ac:dyDescent="0.2">
      <c r="B172" t="s">
        <v>99</v>
      </c>
      <c r="C172" s="1">
        <f>SUM(C2:C171)</f>
        <v>1584960000</v>
      </c>
      <c r="D172" s="1">
        <f>SUM(D2:D171)</f>
        <v>3279750000</v>
      </c>
      <c r="E172" s="1">
        <f>SUM(E2:E171)</f>
        <v>2151680000</v>
      </c>
      <c r="F172" s="1">
        <f>SUM(F2:F171)</f>
        <v>2618300000</v>
      </c>
    </row>
    <row r="173" spans="1:6" x14ac:dyDescent="0.2">
      <c r="B173" t="s">
        <v>20</v>
      </c>
      <c r="C173" s="1">
        <f>( C172/1000000 - $H$21 ) / $H$20 * 5/4</f>
        <v>227.82864283323136</v>
      </c>
      <c r="D173" s="1">
        <f>( D172/1000000 - $H$21 ) / $H$20 * 5/4</f>
        <v>472.37579217121288</v>
      </c>
      <c r="E173" s="1">
        <f>( E172/1000000 - $H$21 ) / $H$20 * 5/4</f>
        <v>309.60264461092703</v>
      </c>
      <c r="F173" s="1">
        <f>( F172/1000000 - $H$21 ) / $H$20 * 5/4</f>
        <v>376.93286890071454</v>
      </c>
    </row>
    <row r="174" spans="1:6" x14ac:dyDescent="0.2">
      <c r="B174" t="s">
        <v>100</v>
      </c>
      <c r="C174" s="7">
        <f>C173/1000</f>
        <v>0.22782864283323134</v>
      </c>
      <c r="D174" s="7">
        <f>D173/1000</f>
        <v>0.47237579217121289</v>
      </c>
      <c r="E174" s="7">
        <f>E173/1000</f>
        <v>0.30960264461092701</v>
      </c>
      <c r="F174" s="7">
        <f>F173/1000</f>
        <v>0.37693286890071453</v>
      </c>
    </row>
    <row r="175" spans="1:6" x14ac:dyDescent="0.2">
      <c r="B175" t="s">
        <v>102</v>
      </c>
      <c r="C175" s="7">
        <f>AVERAGE(C174:F174)</f>
        <v>0.34668498712902146</v>
      </c>
    </row>
    <row r="176" spans="1:6" x14ac:dyDescent="0.2">
      <c r="B176" t="s">
        <v>103</v>
      </c>
      <c r="C176">
        <f>STDEV(C174:F174)</f>
        <v>0.10362599984208788</v>
      </c>
    </row>
  </sheetData>
  <mergeCells count="2">
    <mergeCell ref="H7:H8"/>
    <mergeCell ref="H4:H6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serum_TAG_quantification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2024-09-15T15:28:20Z</dcterms:created>
  <dcterms:modified xsi:type="dcterms:W3CDTF">2024-09-15T15:46:37Z</dcterms:modified>
</cp:coreProperties>
</file>