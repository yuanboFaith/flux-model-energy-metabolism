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Research/vivoFlux/"/>
    </mc:Choice>
  </mc:AlternateContent>
  <xr:revisionPtr revIDLastSave="0" documentId="13_ncr:1_{E028AB39-78E1-1440-BECC-2EE878AB5FF3}" xr6:coauthVersionLast="47" xr6:coauthVersionMax="47" xr10:uidLastSave="{00000000-0000-0000-0000-000000000000}"/>
  <bookViews>
    <workbookView xWindow="0" yWindow="500" windowWidth="25600" windowHeight="15500" xr2:uid="{00000000-000D-0000-FFFF-FFFF00000000}"/>
  </bookViews>
  <sheets>
    <sheet name="raw data" sheetId="1" r:id="rId1"/>
    <sheet name="redundant columns removed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" i="1" l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" i="1"/>
</calcChain>
</file>

<file path=xl/sharedStrings.xml><?xml version="1.0" encoding="utf-8"?>
<sst xmlns="http://schemas.openxmlformats.org/spreadsheetml/2006/main" count="1411" uniqueCount="204">
  <si>
    <t>label</t>
  </si>
  <si>
    <t>metaGroupId</t>
  </si>
  <si>
    <t>groupId</t>
  </si>
  <si>
    <t>goodPeakCount</t>
  </si>
  <si>
    <t>medMz</t>
  </si>
  <si>
    <t>medRt</t>
  </si>
  <si>
    <t>maxQuality</t>
  </si>
  <si>
    <t>adductName</t>
  </si>
  <si>
    <t>isotopeLabel</t>
  </si>
  <si>
    <t>compound</t>
  </si>
  <si>
    <t>compoundId</t>
  </si>
  <si>
    <t>formula</t>
  </si>
  <si>
    <t>expectedRtDiff</t>
  </si>
  <si>
    <t>ppmDiff</t>
  </si>
  <si>
    <t>parent</t>
  </si>
  <si>
    <t>[M-H]-</t>
  </si>
  <si>
    <t>C12 PARENT</t>
  </si>
  <si>
    <t>Glycine</t>
  </si>
  <si>
    <t>C2H5NO2</t>
  </si>
  <si>
    <t>C13-label-1</t>
  </si>
  <si>
    <t>Pyruvate</t>
  </si>
  <si>
    <t>C3H4O3</t>
  </si>
  <si>
    <t>C13-label-2</t>
  </si>
  <si>
    <t>C13-label-3</t>
  </si>
  <si>
    <t>Alanine</t>
  </si>
  <si>
    <t>C3H7NO2</t>
  </si>
  <si>
    <t>Lactate</t>
  </si>
  <si>
    <t>C3H6O3</t>
  </si>
  <si>
    <t>Acetoacetate</t>
  </si>
  <si>
    <t>C4H6O3</t>
  </si>
  <si>
    <t>4-Aminobutyrate (GABA)</t>
  </si>
  <si>
    <t>C4H9NO2</t>
  </si>
  <si>
    <t>2-Hydroxybutyrate</t>
  </si>
  <si>
    <t>C4H8O3</t>
  </si>
  <si>
    <t>Serine</t>
  </si>
  <si>
    <t>C3H7NO3</t>
  </si>
  <si>
    <t>Hypotaurine</t>
  </si>
  <si>
    <t>C2H7NO2S</t>
  </si>
  <si>
    <t>Cytosine</t>
  </si>
  <si>
    <t>C4H5N3O</t>
  </si>
  <si>
    <t>Histamine</t>
  </si>
  <si>
    <t>C5H9N3</t>
  </si>
  <si>
    <t>Uracil</t>
  </si>
  <si>
    <t>C4H4N2O2</t>
  </si>
  <si>
    <t>Creatinine</t>
  </si>
  <si>
    <t>C4H7N3O</t>
  </si>
  <si>
    <t>Proline</t>
  </si>
  <si>
    <t>C5H9NO2</t>
  </si>
  <si>
    <t>C13-label-5</t>
  </si>
  <si>
    <t>Fumarate</t>
  </si>
  <si>
    <t>C4H4O4</t>
  </si>
  <si>
    <t>N-Acetylglycine</t>
  </si>
  <si>
    <t>C4H7NO3</t>
  </si>
  <si>
    <t>Guanidineacetic acid</t>
  </si>
  <si>
    <t>C3H7N3O2</t>
  </si>
  <si>
    <t>Valine</t>
  </si>
  <si>
    <t>C5H11NO2</t>
  </si>
  <si>
    <t>Succinic acid</t>
  </si>
  <si>
    <t>C4H6O4</t>
  </si>
  <si>
    <t>C13-label-4</t>
  </si>
  <si>
    <t>Threonine</t>
  </si>
  <si>
    <t>C4H9NO3</t>
  </si>
  <si>
    <t>Nicotinamide</t>
  </si>
  <si>
    <t>C6H6N2O</t>
  </si>
  <si>
    <t>Taurine</t>
  </si>
  <si>
    <t>C2H7NO3S</t>
  </si>
  <si>
    <t>Thymine</t>
  </si>
  <si>
    <t>C5H6N2O2</t>
  </si>
  <si>
    <t>Pyroglutamate</t>
  </si>
  <si>
    <t>C5H7NO3</t>
  </si>
  <si>
    <t>Creatine</t>
  </si>
  <si>
    <t>C4H9N3O2</t>
  </si>
  <si>
    <t>Leucine</t>
  </si>
  <si>
    <t>C6H13NO2</t>
  </si>
  <si>
    <t>Asparagine</t>
  </si>
  <si>
    <t>C4H8N2O3</t>
  </si>
  <si>
    <t>Aspartate</t>
  </si>
  <si>
    <t>C4H7NO4</t>
  </si>
  <si>
    <t>Malate</t>
  </si>
  <si>
    <t>C4H6O5</t>
  </si>
  <si>
    <t>Hypoxanthine</t>
  </si>
  <si>
    <t>C5H4N4O</t>
  </si>
  <si>
    <t>Salicylic acid</t>
  </si>
  <si>
    <t>C7H6O3</t>
  </si>
  <si>
    <t>Urocanate</t>
  </si>
  <si>
    <t>C6H6N2O2</t>
  </si>
  <si>
    <t>O-Phosphorylethanolamine</t>
  </si>
  <si>
    <t>C2H8NO4P</t>
  </si>
  <si>
    <t>3-Methylglutaconate</t>
  </si>
  <si>
    <t>C6H8O4</t>
  </si>
  <si>
    <t>C13-label-6</t>
  </si>
  <si>
    <t>Alpha-Ketoglutarate</t>
  </si>
  <si>
    <t>C5H6O5</t>
  </si>
  <si>
    <t>Glutamine</t>
  </si>
  <si>
    <t>C5H10N2O3</t>
  </si>
  <si>
    <t>Lysine</t>
  </si>
  <si>
    <t>C6H14N2O2</t>
  </si>
  <si>
    <t>Glutamate</t>
  </si>
  <si>
    <t>C5H9NO4</t>
  </si>
  <si>
    <t>N-Acetyl-serine</t>
  </si>
  <si>
    <t>Citramalate</t>
  </si>
  <si>
    <t>C5H8O5</t>
  </si>
  <si>
    <t>Methionine</t>
  </si>
  <si>
    <t>C5H11NO2S</t>
  </si>
  <si>
    <t>2-Hydroxy-4-(methylthio)butyrate</t>
  </si>
  <si>
    <t>C5H10O3S</t>
  </si>
  <si>
    <t>Xanthine</t>
  </si>
  <si>
    <t>C5H4N4O2</t>
  </si>
  <si>
    <t>Allantoin</t>
  </si>
  <si>
    <t>C4H6N4O3</t>
  </si>
  <si>
    <t>2-Deoxy-D-glucose</t>
  </si>
  <si>
    <t>C6H12O5</t>
  </si>
  <si>
    <t>Phenylalanine</t>
  </si>
  <si>
    <t>C9H11NO2</t>
  </si>
  <si>
    <t>Phosphoenolpyruvate</t>
  </si>
  <si>
    <t>C3H5O6P</t>
  </si>
  <si>
    <t>Uric acid</t>
  </si>
  <si>
    <t>C5H4N4O3</t>
  </si>
  <si>
    <t>Dihydroxyacetone phosphate</t>
  </si>
  <si>
    <t>C3H7O6P</t>
  </si>
  <si>
    <t>Glycerol 3-phosphate</t>
  </si>
  <si>
    <t>C3H9O6P</t>
  </si>
  <si>
    <t>N-Acetyl-Leucine</t>
  </si>
  <si>
    <t>C8H15NO3</t>
  </si>
  <si>
    <t>N-Acetyl-asparagine</t>
  </si>
  <si>
    <t>C6H10N2O4</t>
  </si>
  <si>
    <t>Arginine</t>
  </si>
  <si>
    <t>C6H14N4O2</t>
  </si>
  <si>
    <t>Citrulline</t>
  </si>
  <si>
    <t>C6H13N3O3</t>
  </si>
  <si>
    <t>Gluconolactone</t>
  </si>
  <si>
    <t>C6H10O6</t>
  </si>
  <si>
    <t>Hippuric acid</t>
  </si>
  <si>
    <t>C9H9NO3</t>
  </si>
  <si>
    <t>Glucose</t>
  </si>
  <si>
    <t>C6H12O6</t>
  </si>
  <si>
    <t>Tyrosine</t>
  </si>
  <si>
    <t>C9H11NO3</t>
  </si>
  <si>
    <t>Hydroxyphenyllactate</t>
  </si>
  <si>
    <t>C9H10O4</t>
  </si>
  <si>
    <t>C13-label-8</t>
  </si>
  <si>
    <t>Sorbitol</t>
  </si>
  <si>
    <t>C6H14O6</t>
  </si>
  <si>
    <t>Homocysteic acid</t>
  </si>
  <si>
    <t>C4H9NO5S</t>
  </si>
  <si>
    <t>4-Pyridoxic acid</t>
  </si>
  <si>
    <t>C8H9NO4</t>
  </si>
  <si>
    <t>2-Phosphoglycerate</t>
  </si>
  <si>
    <t>C3H7O7P</t>
  </si>
  <si>
    <t>Azelaic acid</t>
  </si>
  <si>
    <t>C9H16O4</t>
  </si>
  <si>
    <t>N-Acetyl-glutamate</t>
  </si>
  <si>
    <t>C7H11NO5</t>
  </si>
  <si>
    <t>Citrate</t>
  </si>
  <si>
    <t>C6H8O7</t>
  </si>
  <si>
    <t>Galacturonic acid</t>
  </si>
  <si>
    <t>C6H10O7</t>
  </si>
  <si>
    <t>Methyl Galactoside</t>
  </si>
  <si>
    <t>C7H14O6</t>
  </si>
  <si>
    <t>Gluconate</t>
  </si>
  <si>
    <t>C6H12O7</t>
  </si>
  <si>
    <t>Tryptophan</t>
  </si>
  <si>
    <t>C11H12N2O2</t>
  </si>
  <si>
    <t>Creatine phosphate</t>
  </si>
  <si>
    <t>C4H10N3O5P</t>
  </si>
  <si>
    <t>Pantothenate</t>
  </si>
  <si>
    <t>C9H17NO5</t>
  </si>
  <si>
    <t>Carnosine</t>
  </si>
  <si>
    <t>C9H14N4O3</t>
  </si>
  <si>
    <t>Deoxycytidine</t>
  </si>
  <si>
    <t>C9H13N3O4</t>
  </si>
  <si>
    <t>Ribose 5-phosphate</t>
  </si>
  <si>
    <t>C5H11O8P</t>
  </si>
  <si>
    <t>Anserine</t>
  </si>
  <si>
    <t>C10H16N4O3</t>
  </si>
  <si>
    <t>Thymidine</t>
  </si>
  <si>
    <t>C10H14N2O5</t>
  </si>
  <si>
    <t>Uridine</t>
  </si>
  <si>
    <t>C9H12N2O6</t>
  </si>
  <si>
    <t>Glucose 6-phosphate</t>
  </si>
  <si>
    <t>C6H13O9P</t>
  </si>
  <si>
    <t>Inosine</t>
  </si>
  <si>
    <t>C10H12N4O5</t>
  </si>
  <si>
    <t>N-Acetylneuraminic acid</t>
  </si>
  <si>
    <t>C11H19NO9</t>
  </si>
  <si>
    <t>IMP</t>
  </si>
  <si>
    <t>C10H13N4O8P</t>
  </si>
  <si>
    <t>UDP</t>
  </si>
  <si>
    <t>C9H14N2O12P2</t>
  </si>
  <si>
    <t>UTP</t>
  </si>
  <si>
    <t>C9H15N2O15P3</t>
  </si>
  <si>
    <t>UDP-Galactose</t>
  </si>
  <si>
    <t>C15H24N2O17P2</t>
  </si>
  <si>
    <t>S1_0mim</t>
  </si>
  <si>
    <t>S1_20min</t>
  </si>
  <si>
    <t>S1_40min</t>
  </si>
  <si>
    <t>S1_60min</t>
  </si>
  <si>
    <t>S1_FV</t>
  </si>
  <si>
    <t>S1_Ht</t>
  </si>
  <si>
    <t>GN1</t>
  </si>
  <si>
    <t>SL1</t>
  </si>
  <si>
    <t>LV1</t>
  </si>
  <si>
    <t>BLK1</t>
  </si>
  <si>
    <t>BLK2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</si>
</sst>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243"/>
  <sheetViews>
    <sheetView tabSelected="1" workbookViewId="0">
      <selection activeCell="H12" sqref="H12"/>
    </sheetView>
  </sheetViews>
  <sheetFormatPr baseColWidth="10" defaultRowHeight="16" x14ac:dyDescent="0.2"/>
  <cols>
    <col min="1" max="1" width="5.1640625" style="1" bestFit="1" customWidth="1"/>
    <col min="2" max="2" width="12" style="1" bestFit="1" customWidth="1"/>
    <col min="3" max="3" width="7.33203125" style="1" bestFit="1" customWidth="1"/>
    <col min="4" max="4" width="13.6640625" style="1" bestFit="1" customWidth="1"/>
    <col min="5" max="5" width="11.1640625" style="1" bestFit="1" customWidth="1"/>
    <col min="6" max="6" width="7.1640625" style="1" bestFit="1" customWidth="1"/>
    <col min="7" max="7" width="10.5" style="1" bestFit="1" customWidth="1"/>
    <col min="8" max="8" width="11.6640625" style="1" bestFit="1" customWidth="1"/>
    <col min="9" max="9" width="11.5" style="1" bestFit="1" customWidth="1"/>
    <col min="10" max="11" width="29" style="1" bestFit="1" customWidth="1"/>
    <col min="12" max="12" width="15" style="1" bestFit="1" customWidth="1"/>
    <col min="13" max="13" width="13.33203125" style="1" bestFit="1" customWidth="1"/>
    <col min="14" max="14" width="9.1640625" style="1" bestFit="1" customWidth="1"/>
    <col min="15" max="15" width="11.1640625" style="1" bestFit="1" customWidth="1"/>
    <col min="16" max="24" width="11.6640625" style="1" bestFit="1" customWidth="1"/>
    <col min="25" max="16384" width="10.83203125" style="1"/>
  </cols>
  <sheetData>
    <row r="1" spans="1:2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193</v>
      </c>
      <c r="Q1" s="1" t="s">
        <v>194</v>
      </c>
      <c r="R1" s="1" t="s">
        <v>195</v>
      </c>
      <c r="S1" s="1" t="s">
        <v>196</v>
      </c>
      <c r="T1" s="1" t="s">
        <v>197</v>
      </c>
      <c r="U1" s="1" t="s">
        <v>198</v>
      </c>
      <c r="V1" s="1" t="s">
        <v>199</v>
      </c>
      <c r="W1" s="1" t="s">
        <v>200</v>
      </c>
      <c r="X1" s="1" t="s">
        <v>201</v>
      </c>
      <c r="Y1" s="1" t="s">
        <v>202</v>
      </c>
      <c r="Z1" s="1" t="s">
        <v>203</v>
      </c>
    </row>
    <row r="2" spans="1:26" x14ac:dyDescent="0.2">
      <c r="B2" s="1">
        <v>1</v>
      </c>
      <c r="C2" s="1">
        <v>1</v>
      </c>
      <c r="D2" s="1">
        <v>18</v>
      </c>
      <c r="E2" s="1">
        <v>74.024628000000007</v>
      </c>
      <c r="F2" s="1">
        <v>6.7380000000000004</v>
      </c>
      <c r="G2" s="1">
        <v>0.83338400000000001</v>
      </c>
      <c r="H2" s="1" t="s">
        <v>15</v>
      </c>
      <c r="I2" s="1" t="s">
        <v>16</v>
      </c>
      <c r="J2" s="1" t="s">
        <v>17</v>
      </c>
      <c r="K2" s="1" t="s">
        <v>17</v>
      </c>
      <c r="L2" s="1" t="s">
        <v>18</v>
      </c>
      <c r="M2" s="1">
        <v>0.192</v>
      </c>
      <c r="N2" s="1">
        <v>1.6490469999999999</v>
      </c>
      <c r="O2" s="1">
        <v>74.024628000000007</v>
      </c>
      <c r="P2" s="2">
        <v>1805889.62</v>
      </c>
      <c r="Q2" s="2">
        <v>864476.81</v>
      </c>
      <c r="R2" s="2">
        <v>1921847</v>
      </c>
      <c r="S2" s="2">
        <v>1084706.8799999999</v>
      </c>
      <c r="T2" s="2">
        <v>1637284.88</v>
      </c>
      <c r="U2" s="2">
        <v>2738106.25</v>
      </c>
      <c r="V2" s="2">
        <v>3952412.75</v>
      </c>
      <c r="W2" s="2">
        <v>1446180.5</v>
      </c>
      <c r="X2" s="2">
        <v>2439767</v>
      </c>
      <c r="Y2" s="1">
        <f ca="1">RANDBETWEEN(1000, 8000)</f>
        <v>7685</v>
      </c>
      <c r="Z2" s="1">
        <f ca="1">RANDBETWEEN(1000, 8000)</f>
        <v>6837</v>
      </c>
    </row>
    <row r="3" spans="1:26" x14ac:dyDescent="0.2">
      <c r="B3" s="1">
        <v>1</v>
      </c>
      <c r="C3" s="1">
        <v>2</v>
      </c>
      <c r="D3" s="1">
        <v>14</v>
      </c>
      <c r="E3" s="1">
        <v>75.028037999999995</v>
      </c>
      <c r="F3" s="1">
        <v>6.7480000000000002</v>
      </c>
      <c r="G3" s="1">
        <v>0.784528</v>
      </c>
      <c r="I3" s="1" t="s">
        <v>19</v>
      </c>
      <c r="J3" s="1" t="s">
        <v>17</v>
      </c>
      <c r="K3" s="1" t="s">
        <v>17</v>
      </c>
      <c r="L3" s="1" t="s">
        <v>18</v>
      </c>
      <c r="M3" s="1">
        <v>0.182</v>
      </c>
      <c r="N3" s="1">
        <v>0.915184</v>
      </c>
      <c r="O3" s="1">
        <v>74.024628000000007</v>
      </c>
      <c r="P3" s="2">
        <v>25282.15</v>
      </c>
      <c r="Q3" s="2">
        <v>14038.05</v>
      </c>
      <c r="R3" s="2">
        <v>23735.71</v>
      </c>
      <c r="S3" s="2">
        <v>17048.34</v>
      </c>
      <c r="T3" s="2">
        <v>23263.47</v>
      </c>
      <c r="U3" s="2">
        <v>46598.720000000001</v>
      </c>
      <c r="V3" s="2">
        <v>59479.23</v>
      </c>
      <c r="W3" s="2">
        <v>24741.35</v>
      </c>
      <c r="X3" s="2">
        <v>31351.23</v>
      </c>
      <c r="Y3" s="1">
        <f t="shared" ref="Y3:Z66" ca="1" si="0">RANDBETWEEN(1000, 8000)</f>
        <v>4523</v>
      </c>
      <c r="Z3" s="1">
        <f t="shared" ca="1" si="0"/>
        <v>2338</v>
      </c>
    </row>
    <row r="4" spans="1:26" x14ac:dyDescent="0.2">
      <c r="B4" s="1">
        <v>3</v>
      </c>
      <c r="C4" s="1">
        <v>3</v>
      </c>
      <c r="D4" s="1">
        <v>18</v>
      </c>
      <c r="E4" s="1">
        <v>87.008842000000001</v>
      </c>
      <c r="F4" s="1">
        <v>2.2149999999999999</v>
      </c>
      <c r="G4" s="1">
        <v>0.83642300000000003</v>
      </c>
      <c r="H4" s="1" t="s">
        <v>15</v>
      </c>
      <c r="I4" s="1" t="s">
        <v>16</v>
      </c>
      <c r="J4" s="1" t="s">
        <v>20</v>
      </c>
      <c r="K4" s="1" t="s">
        <v>20</v>
      </c>
      <c r="L4" s="1" t="s">
        <v>21</v>
      </c>
      <c r="M4" s="1">
        <v>7.4999999999999997E-2</v>
      </c>
      <c r="N4" s="1">
        <v>0.87685400000000002</v>
      </c>
      <c r="O4" s="1">
        <v>87.008842000000001</v>
      </c>
      <c r="P4" s="2">
        <v>3138811.25</v>
      </c>
      <c r="Q4" s="2">
        <v>1762868.38</v>
      </c>
      <c r="R4" s="2">
        <v>2883312.25</v>
      </c>
      <c r="S4" s="2">
        <v>4272322.5</v>
      </c>
      <c r="T4" s="2">
        <v>5504136</v>
      </c>
      <c r="U4" s="2">
        <v>4430664.5</v>
      </c>
      <c r="V4" s="2">
        <v>6525026.5</v>
      </c>
      <c r="W4" s="2">
        <v>1586590</v>
      </c>
      <c r="X4" s="2">
        <v>2251829.5</v>
      </c>
      <c r="Y4" s="1">
        <f t="shared" ca="1" si="0"/>
        <v>6393</v>
      </c>
      <c r="Z4" s="1">
        <f t="shared" ca="1" si="0"/>
        <v>4784</v>
      </c>
    </row>
    <row r="5" spans="1:26" x14ac:dyDescent="0.2">
      <c r="B5" s="1">
        <v>3</v>
      </c>
      <c r="C5" s="1">
        <v>4</v>
      </c>
      <c r="D5" s="1">
        <v>18</v>
      </c>
      <c r="E5" s="1">
        <v>88.012214999999998</v>
      </c>
      <c r="F5" s="1">
        <v>2.21</v>
      </c>
      <c r="G5" s="1">
        <v>0.83965599999999996</v>
      </c>
      <c r="I5" s="1" t="s">
        <v>19</v>
      </c>
      <c r="J5" s="1" t="s">
        <v>20</v>
      </c>
      <c r="K5" s="1" t="s">
        <v>20</v>
      </c>
      <c r="L5" s="1" t="s">
        <v>21</v>
      </c>
      <c r="M5" s="1">
        <v>0.08</v>
      </c>
      <c r="N5" s="1">
        <v>1.0402290000000001</v>
      </c>
      <c r="O5" s="1">
        <v>87.008842000000001</v>
      </c>
      <c r="P5" s="2">
        <v>78130.16</v>
      </c>
      <c r="Q5" s="2">
        <v>46541.98</v>
      </c>
      <c r="R5" s="2">
        <v>85088.9</v>
      </c>
      <c r="S5" s="2">
        <v>141672.17000000001</v>
      </c>
      <c r="T5" s="2">
        <v>196383.73</v>
      </c>
      <c r="U5" s="2">
        <v>146298.23000000001</v>
      </c>
      <c r="V5" s="2">
        <v>202056.06</v>
      </c>
      <c r="W5" s="2">
        <v>42538.39</v>
      </c>
      <c r="X5" s="2">
        <v>67295.66</v>
      </c>
      <c r="Y5" s="1">
        <f t="shared" ca="1" si="0"/>
        <v>3951</v>
      </c>
      <c r="Z5" s="1">
        <f t="shared" ca="1" si="0"/>
        <v>1357</v>
      </c>
    </row>
    <row r="6" spans="1:26" x14ac:dyDescent="0.2">
      <c r="B6" s="1">
        <v>3</v>
      </c>
      <c r="C6" s="1">
        <v>5</v>
      </c>
      <c r="D6" s="1">
        <v>3</v>
      </c>
      <c r="E6" s="1">
        <v>89.015617000000006</v>
      </c>
      <c r="F6" s="1">
        <v>2.2090000000000001</v>
      </c>
      <c r="G6" s="1">
        <v>0.72643899999999995</v>
      </c>
      <c r="I6" s="1" t="s">
        <v>22</v>
      </c>
      <c r="J6" s="1" t="s">
        <v>20</v>
      </c>
      <c r="K6" s="1" t="s">
        <v>20</v>
      </c>
      <c r="L6" s="1" t="s">
        <v>21</v>
      </c>
      <c r="M6" s="1">
        <v>8.1000000000000003E-2</v>
      </c>
      <c r="N6" s="1">
        <v>1.5427550000000001</v>
      </c>
      <c r="O6" s="1">
        <v>87.008842000000001</v>
      </c>
      <c r="P6" s="2">
        <v>0</v>
      </c>
      <c r="Q6" s="2">
        <v>0</v>
      </c>
      <c r="R6" s="2">
        <v>2026.55</v>
      </c>
      <c r="S6" s="2">
        <v>11832.65</v>
      </c>
      <c r="T6" s="2">
        <v>23831.16</v>
      </c>
      <c r="U6" s="2">
        <v>21843.02</v>
      </c>
      <c r="V6" s="2">
        <v>1484.35</v>
      </c>
      <c r="W6" s="2">
        <v>1844.88</v>
      </c>
      <c r="X6" s="2">
        <v>3620.36</v>
      </c>
      <c r="Y6" s="1">
        <f t="shared" ca="1" si="0"/>
        <v>1023</v>
      </c>
      <c r="Z6" s="1">
        <f t="shared" ca="1" si="0"/>
        <v>4953</v>
      </c>
    </row>
    <row r="7" spans="1:26" x14ac:dyDescent="0.2">
      <c r="B7" s="1">
        <v>3</v>
      </c>
      <c r="C7" s="1">
        <v>6</v>
      </c>
      <c r="D7" s="1">
        <v>7</v>
      </c>
      <c r="E7" s="1">
        <v>90.018921000000006</v>
      </c>
      <c r="F7" s="1">
        <v>2.21</v>
      </c>
      <c r="G7" s="1">
        <v>0.82386899999999996</v>
      </c>
      <c r="I7" s="1" t="s">
        <v>23</v>
      </c>
      <c r="J7" s="1" t="s">
        <v>20</v>
      </c>
      <c r="K7" s="1" t="s">
        <v>20</v>
      </c>
      <c r="L7" s="1" t="s">
        <v>21</v>
      </c>
      <c r="M7" s="1">
        <v>0.08</v>
      </c>
      <c r="N7" s="1">
        <v>1.0170399999999999</v>
      </c>
      <c r="O7" s="1">
        <v>87.008842000000001</v>
      </c>
      <c r="P7" s="2">
        <v>0</v>
      </c>
      <c r="Q7" s="2">
        <v>3321.54</v>
      </c>
      <c r="R7" s="2">
        <v>36704.480000000003</v>
      </c>
      <c r="S7" s="2">
        <v>100796.71</v>
      </c>
      <c r="T7" s="2">
        <v>216945.92000000001</v>
      </c>
      <c r="U7" s="2">
        <v>157394.29999999999</v>
      </c>
      <c r="V7" s="2">
        <v>0</v>
      </c>
      <c r="W7" s="2">
        <v>37669.300000000003</v>
      </c>
      <c r="X7" s="2">
        <v>35314.83</v>
      </c>
      <c r="Y7" s="1">
        <f t="shared" ca="1" si="0"/>
        <v>6174</v>
      </c>
      <c r="Z7" s="1">
        <f t="shared" ca="1" si="0"/>
        <v>2352</v>
      </c>
    </row>
    <row r="8" spans="1:26" x14ac:dyDescent="0.2">
      <c r="B8" s="1">
        <v>7</v>
      </c>
      <c r="C8" s="1">
        <v>7</v>
      </c>
      <c r="D8" s="1">
        <v>18</v>
      </c>
      <c r="E8" s="1">
        <v>88.040488999999994</v>
      </c>
      <c r="F8" s="1">
        <v>6.2460000000000004</v>
      </c>
      <c r="G8" s="1">
        <v>0.83217600000000003</v>
      </c>
      <c r="H8" s="1" t="s">
        <v>15</v>
      </c>
      <c r="I8" s="1" t="s">
        <v>16</v>
      </c>
      <c r="J8" s="1" t="s">
        <v>24</v>
      </c>
      <c r="K8" s="1" t="s">
        <v>24</v>
      </c>
      <c r="L8" s="1" t="s">
        <v>25</v>
      </c>
      <c r="M8" s="1">
        <v>0.24399999999999999</v>
      </c>
      <c r="N8" s="1">
        <v>0.953237</v>
      </c>
      <c r="O8" s="1">
        <v>88.040488999999994</v>
      </c>
      <c r="P8" s="2">
        <v>14344587</v>
      </c>
      <c r="Q8" s="2">
        <v>5056525</v>
      </c>
      <c r="R8" s="2">
        <v>13906923</v>
      </c>
      <c r="S8" s="2">
        <v>9052844</v>
      </c>
      <c r="T8" s="2">
        <v>15573696</v>
      </c>
      <c r="U8" s="2">
        <v>25573582</v>
      </c>
      <c r="V8" s="2">
        <v>52379392</v>
      </c>
      <c r="W8" s="2">
        <v>55804624</v>
      </c>
      <c r="X8" s="2">
        <v>10970460</v>
      </c>
      <c r="Y8" s="1">
        <f t="shared" ca="1" si="0"/>
        <v>5073</v>
      </c>
      <c r="Z8" s="1">
        <f t="shared" ca="1" si="0"/>
        <v>7616</v>
      </c>
    </row>
    <row r="9" spans="1:26" x14ac:dyDescent="0.2">
      <c r="B9" s="1">
        <v>7</v>
      </c>
      <c r="C9" s="1">
        <v>8</v>
      </c>
      <c r="D9" s="1">
        <v>12</v>
      </c>
      <c r="E9" s="1">
        <v>89.043853999999996</v>
      </c>
      <c r="F9" s="1">
        <v>6.242</v>
      </c>
      <c r="G9" s="1">
        <v>0.81634300000000004</v>
      </c>
      <c r="I9" s="1" t="s">
        <v>19</v>
      </c>
      <c r="J9" s="1" t="s">
        <v>24</v>
      </c>
      <c r="K9" s="1" t="s">
        <v>24</v>
      </c>
      <c r="L9" s="1" t="s">
        <v>25</v>
      </c>
      <c r="M9" s="1">
        <v>0.248</v>
      </c>
      <c r="N9" s="1">
        <v>1.113858</v>
      </c>
      <c r="O9" s="1">
        <v>88.040488999999994</v>
      </c>
      <c r="P9" s="2">
        <v>460151.25</v>
      </c>
      <c r="Q9" s="2">
        <v>140951.44</v>
      </c>
      <c r="R9" s="2">
        <v>464565.25</v>
      </c>
      <c r="S9" s="2">
        <v>278642.59000000003</v>
      </c>
      <c r="T9" s="2">
        <v>574591.93999999994</v>
      </c>
      <c r="U9" s="2">
        <v>973603.69</v>
      </c>
      <c r="V9" s="2">
        <v>1864035.12</v>
      </c>
      <c r="W9" s="2">
        <v>1825520</v>
      </c>
      <c r="X9" s="2">
        <v>366297.97</v>
      </c>
      <c r="Y9" s="1">
        <f t="shared" ca="1" si="0"/>
        <v>1461</v>
      </c>
      <c r="Z9" s="1">
        <f t="shared" ca="1" si="0"/>
        <v>5503</v>
      </c>
    </row>
    <row r="10" spans="1:26" x14ac:dyDescent="0.2">
      <c r="B10" s="1">
        <v>7</v>
      </c>
      <c r="C10" s="1">
        <v>9</v>
      </c>
      <c r="D10" s="1">
        <v>6</v>
      </c>
      <c r="E10" s="1">
        <v>90.047150000000002</v>
      </c>
      <c r="F10" s="1">
        <v>6.2619999999999996</v>
      </c>
      <c r="G10" s="1">
        <v>0.81425499999999995</v>
      </c>
      <c r="I10" s="1" t="s">
        <v>22</v>
      </c>
      <c r="J10" s="1" t="s">
        <v>24</v>
      </c>
      <c r="K10" s="1" t="s">
        <v>24</v>
      </c>
      <c r="L10" s="1" t="s">
        <v>25</v>
      </c>
      <c r="M10" s="1">
        <v>0.22800000000000001</v>
      </c>
      <c r="N10" s="1">
        <v>0.42363299999999998</v>
      </c>
      <c r="O10" s="1">
        <v>88.040488999999994</v>
      </c>
      <c r="P10" s="2">
        <v>0</v>
      </c>
      <c r="Q10" s="2">
        <v>0</v>
      </c>
      <c r="R10" s="2">
        <v>5573.72</v>
      </c>
      <c r="S10" s="2">
        <v>16607.21</v>
      </c>
      <c r="T10" s="2">
        <v>63695.95</v>
      </c>
      <c r="U10" s="2">
        <v>95098.5</v>
      </c>
      <c r="V10" s="2">
        <v>6088.66</v>
      </c>
      <c r="W10" s="2">
        <v>65971.16</v>
      </c>
      <c r="X10" s="2">
        <v>36539.99</v>
      </c>
      <c r="Y10" s="1">
        <f t="shared" ca="1" si="0"/>
        <v>1213</v>
      </c>
      <c r="Z10" s="1">
        <f t="shared" ca="1" si="0"/>
        <v>2994</v>
      </c>
    </row>
    <row r="11" spans="1:26" x14ac:dyDescent="0.2">
      <c r="B11" s="1">
        <v>7</v>
      </c>
      <c r="C11" s="1">
        <v>10</v>
      </c>
      <c r="D11" s="1">
        <v>5</v>
      </c>
      <c r="E11" s="1">
        <v>91.050551999999996</v>
      </c>
      <c r="F11" s="1">
        <v>6.2629999999999999</v>
      </c>
      <c r="G11" s="1">
        <v>0.82120000000000004</v>
      </c>
      <c r="I11" s="1" t="s">
        <v>23</v>
      </c>
      <c r="J11" s="1" t="s">
        <v>24</v>
      </c>
      <c r="K11" s="1" t="s">
        <v>24</v>
      </c>
      <c r="L11" s="1" t="s">
        <v>25</v>
      </c>
      <c r="M11" s="1">
        <v>0.22700000000000001</v>
      </c>
      <c r="N11" s="1">
        <v>0.92172299999999996</v>
      </c>
      <c r="O11" s="1">
        <v>88.040488999999994</v>
      </c>
      <c r="P11" s="2">
        <v>0</v>
      </c>
      <c r="Q11" s="2">
        <v>0</v>
      </c>
      <c r="R11" s="2">
        <v>70637.05</v>
      </c>
      <c r="S11" s="2">
        <v>100424.99</v>
      </c>
      <c r="T11" s="2">
        <v>318238.21999999997</v>
      </c>
      <c r="U11" s="2">
        <v>621348.62</v>
      </c>
      <c r="V11" s="2">
        <v>0</v>
      </c>
      <c r="W11" s="2">
        <v>299068.96999999997</v>
      </c>
      <c r="X11" s="2">
        <v>258355.25</v>
      </c>
      <c r="Y11" s="1">
        <f t="shared" ca="1" si="0"/>
        <v>6932</v>
      </c>
      <c r="Z11" s="1">
        <f t="shared" ca="1" si="0"/>
        <v>1166</v>
      </c>
    </row>
    <row r="12" spans="1:26" x14ac:dyDescent="0.2">
      <c r="B12" s="1">
        <v>11</v>
      </c>
      <c r="C12" s="1">
        <v>11</v>
      </c>
      <c r="D12" s="1">
        <v>18</v>
      </c>
      <c r="E12" s="1">
        <v>89.024520999999993</v>
      </c>
      <c r="F12" s="1">
        <v>3.2290000000000001</v>
      </c>
      <c r="G12" s="1">
        <v>0.82455900000000004</v>
      </c>
      <c r="H12" s="1" t="s">
        <v>15</v>
      </c>
      <c r="I12" s="1" t="s">
        <v>16</v>
      </c>
      <c r="J12" s="1" t="s">
        <v>26</v>
      </c>
      <c r="K12" s="1" t="s">
        <v>26</v>
      </c>
      <c r="L12" s="1" t="s">
        <v>27</v>
      </c>
      <c r="M12" s="1">
        <v>0.191</v>
      </c>
      <c r="N12" s="1">
        <v>1.1141000000000001</v>
      </c>
      <c r="O12" s="1">
        <v>89.024520999999993</v>
      </c>
      <c r="P12" s="2">
        <v>277113504</v>
      </c>
      <c r="Q12" s="2">
        <v>138166912</v>
      </c>
      <c r="R12" s="2">
        <v>231334848</v>
      </c>
      <c r="S12" s="2">
        <v>159646800</v>
      </c>
      <c r="T12" s="2">
        <v>178545776</v>
      </c>
      <c r="U12" s="2">
        <v>201223472</v>
      </c>
      <c r="V12" s="2">
        <v>128150528</v>
      </c>
      <c r="W12" s="2">
        <v>85415752</v>
      </c>
      <c r="X12" s="2">
        <v>205132208</v>
      </c>
      <c r="Y12" s="1">
        <f t="shared" ca="1" si="0"/>
        <v>5822</v>
      </c>
      <c r="Z12" s="1">
        <f t="shared" ca="1" si="0"/>
        <v>4148</v>
      </c>
    </row>
    <row r="13" spans="1:26" x14ac:dyDescent="0.2">
      <c r="B13" s="1">
        <v>11</v>
      </c>
      <c r="C13" s="1">
        <v>12</v>
      </c>
      <c r="D13" s="1">
        <v>11</v>
      </c>
      <c r="E13" s="1">
        <v>90.027832000000004</v>
      </c>
      <c r="F13" s="1">
        <v>3.2320000000000002</v>
      </c>
      <c r="G13" s="1">
        <v>0.632359</v>
      </c>
      <c r="I13" s="1" t="s">
        <v>19</v>
      </c>
      <c r="J13" s="1" t="s">
        <v>26</v>
      </c>
      <c r="K13" s="1" t="s">
        <v>26</v>
      </c>
      <c r="L13" s="1" t="s">
        <v>27</v>
      </c>
      <c r="M13" s="1">
        <v>0.188</v>
      </c>
      <c r="N13" s="1">
        <v>0.67795899999999998</v>
      </c>
      <c r="O13" s="1">
        <v>89.024520999999993</v>
      </c>
      <c r="P13" s="2">
        <v>9947745</v>
      </c>
      <c r="Q13" s="2">
        <v>4746031.5</v>
      </c>
      <c r="R13" s="2">
        <v>8586223</v>
      </c>
      <c r="S13" s="2">
        <v>6493932</v>
      </c>
      <c r="T13" s="2">
        <v>7617631.5</v>
      </c>
      <c r="U13" s="2">
        <v>8382872.5</v>
      </c>
      <c r="V13" s="2">
        <v>4514374</v>
      </c>
      <c r="W13" s="2">
        <v>3063328</v>
      </c>
      <c r="X13" s="2">
        <v>7173253.5</v>
      </c>
      <c r="Y13" s="1">
        <f t="shared" ca="1" si="0"/>
        <v>2804</v>
      </c>
      <c r="Z13" s="1">
        <f t="shared" ca="1" si="0"/>
        <v>7629</v>
      </c>
    </row>
    <row r="14" spans="1:26" x14ac:dyDescent="0.2">
      <c r="B14" s="1">
        <v>11</v>
      </c>
      <c r="C14" s="1">
        <v>13</v>
      </c>
      <c r="D14" s="1">
        <v>18</v>
      </c>
      <c r="E14" s="1">
        <v>91.031136000000004</v>
      </c>
      <c r="F14" s="1">
        <v>3.2240000000000002</v>
      </c>
      <c r="G14" s="1">
        <v>0.82401000000000002</v>
      </c>
      <c r="I14" s="1" t="s">
        <v>22</v>
      </c>
      <c r="J14" s="1" t="s">
        <v>26</v>
      </c>
      <c r="K14" s="1" t="s">
        <v>26</v>
      </c>
      <c r="L14" s="1" t="s">
        <v>27</v>
      </c>
      <c r="M14" s="1">
        <v>0.19600000000000001</v>
      </c>
      <c r="N14" s="1">
        <v>8.3810999999999997E-2</v>
      </c>
      <c r="O14" s="1">
        <v>89.024520999999993</v>
      </c>
      <c r="P14" s="2">
        <v>81155.13</v>
      </c>
      <c r="Q14" s="2">
        <v>115363.77</v>
      </c>
      <c r="R14" s="2">
        <v>646282.56000000006</v>
      </c>
      <c r="S14" s="2">
        <v>843123.44</v>
      </c>
      <c r="T14" s="2">
        <v>1366506.12</v>
      </c>
      <c r="U14" s="2">
        <v>1405151</v>
      </c>
      <c r="V14" s="2">
        <v>43630.54</v>
      </c>
      <c r="W14" s="2">
        <v>306507.12</v>
      </c>
      <c r="X14" s="2">
        <v>726521.25</v>
      </c>
      <c r="Y14" s="1">
        <f t="shared" ca="1" si="0"/>
        <v>2633</v>
      </c>
      <c r="Z14" s="1">
        <f t="shared" ca="1" si="0"/>
        <v>7731</v>
      </c>
    </row>
    <row r="15" spans="1:26" x14ac:dyDescent="0.2">
      <c r="B15" s="1">
        <v>14</v>
      </c>
      <c r="C15" s="1">
        <v>14</v>
      </c>
      <c r="D15" s="1">
        <v>14</v>
      </c>
      <c r="E15" s="1">
        <v>101.02449799999999</v>
      </c>
      <c r="F15" s="1">
        <v>2.734</v>
      </c>
      <c r="G15" s="1">
        <v>0.82115300000000002</v>
      </c>
      <c r="H15" s="1" t="s">
        <v>15</v>
      </c>
      <c r="I15" s="1" t="s">
        <v>16</v>
      </c>
      <c r="J15" s="1" t="s">
        <v>28</v>
      </c>
      <c r="K15" s="1" t="s">
        <v>28</v>
      </c>
      <c r="L15" s="1" t="s">
        <v>29</v>
      </c>
      <c r="M15" s="1">
        <v>0.25600000000000001</v>
      </c>
      <c r="N15" s="1">
        <v>0.75520299999999996</v>
      </c>
      <c r="O15" s="1">
        <v>101.02449799999999</v>
      </c>
      <c r="P15" s="2">
        <v>6980717.5</v>
      </c>
      <c r="Q15" s="2">
        <v>2217920.25</v>
      </c>
      <c r="R15" s="2">
        <v>3784137.25</v>
      </c>
      <c r="S15" s="2">
        <v>2844760</v>
      </c>
      <c r="T15" s="2">
        <v>2802387</v>
      </c>
      <c r="U15" s="2">
        <v>3023665.75</v>
      </c>
      <c r="V15" s="2">
        <v>51936.52</v>
      </c>
      <c r="W15" s="2">
        <v>31348.35</v>
      </c>
      <c r="X15" s="2">
        <v>303946.34000000003</v>
      </c>
      <c r="Y15" s="1">
        <f t="shared" ca="1" si="0"/>
        <v>2623</v>
      </c>
      <c r="Z15" s="1">
        <f t="shared" ca="1" si="0"/>
        <v>5222</v>
      </c>
    </row>
    <row r="16" spans="1:26" x14ac:dyDescent="0.2">
      <c r="B16" s="1">
        <v>14</v>
      </c>
      <c r="C16" s="1">
        <v>15</v>
      </c>
      <c r="D16" s="1">
        <v>12</v>
      </c>
      <c r="E16" s="1">
        <v>102.02786999999999</v>
      </c>
      <c r="F16" s="1">
        <v>2.762</v>
      </c>
      <c r="G16" s="1">
        <v>0.816801</v>
      </c>
      <c r="I16" s="1" t="s">
        <v>19</v>
      </c>
      <c r="J16" s="1" t="s">
        <v>28</v>
      </c>
      <c r="K16" s="1" t="s">
        <v>28</v>
      </c>
      <c r="L16" s="1" t="s">
        <v>29</v>
      </c>
      <c r="M16" s="1">
        <v>0.22800000000000001</v>
      </c>
      <c r="N16" s="1">
        <v>0.972109</v>
      </c>
      <c r="O16" s="1">
        <v>101.02449799999999</v>
      </c>
      <c r="P16" s="2">
        <v>250429.19</v>
      </c>
      <c r="Q16" s="2">
        <v>63499.3</v>
      </c>
      <c r="R16" s="2">
        <v>124908.45</v>
      </c>
      <c r="S16" s="2">
        <v>114389.68</v>
      </c>
      <c r="T16" s="2">
        <v>89161.68</v>
      </c>
      <c r="U16" s="2">
        <v>105815.73</v>
      </c>
      <c r="V16" s="2">
        <v>0</v>
      </c>
      <c r="W16" s="2">
        <v>0</v>
      </c>
      <c r="X16" s="2">
        <v>9618.43</v>
      </c>
      <c r="Y16" s="1">
        <f t="shared" ca="1" si="0"/>
        <v>3963</v>
      </c>
      <c r="Z16" s="1">
        <f t="shared" ca="1" si="0"/>
        <v>7798</v>
      </c>
    </row>
    <row r="17" spans="2:26" x14ac:dyDescent="0.2">
      <c r="B17" s="1">
        <v>19</v>
      </c>
      <c r="C17" s="1">
        <v>19</v>
      </c>
      <c r="D17" s="1">
        <v>16</v>
      </c>
      <c r="E17" s="1">
        <v>102.056175</v>
      </c>
      <c r="F17" s="1">
        <v>7.6749999999999998</v>
      </c>
      <c r="G17" s="1">
        <v>0.83929500000000001</v>
      </c>
      <c r="H17" s="1" t="s">
        <v>15</v>
      </c>
      <c r="I17" s="1" t="s">
        <v>16</v>
      </c>
      <c r="J17" s="1" t="s">
        <v>30</v>
      </c>
      <c r="K17" s="1" t="s">
        <v>30</v>
      </c>
      <c r="L17" s="1" t="s">
        <v>31</v>
      </c>
      <c r="M17" s="1">
        <v>0.54500000000000004</v>
      </c>
      <c r="N17" s="1">
        <v>1.19611</v>
      </c>
      <c r="O17" s="1">
        <v>102.056175</v>
      </c>
      <c r="P17" s="2">
        <v>66166.75</v>
      </c>
      <c r="Q17" s="2">
        <v>31419.4</v>
      </c>
      <c r="R17" s="2">
        <v>46904.33</v>
      </c>
      <c r="S17" s="2">
        <v>20311.080000000002</v>
      </c>
      <c r="T17" s="2">
        <v>37176.870000000003</v>
      </c>
      <c r="U17" s="2">
        <v>66225.09</v>
      </c>
      <c r="V17" s="2">
        <v>728874.25</v>
      </c>
      <c r="W17" s="2">
        <v>1255837.8799999999</v>
      </c>
      <c r="X17" s="2">
        <v>413338.12</v>
      </c>
      <c r="Y17" s="1">
        <f t="shared" ca="1" si="0"/>
        <v>4241</v>
      </c>
      <c r="Z17" s="1">
        <f t="shared" ca="1" si="0"/>
        <v>2027</v>
      </c>
    </row>
    <row r="18" spans="2:26" x14ac:dyDescent="0.2">
      <c r="B18" s="1">
        <v>19</v>
      </c>
      <c r="C18" s="1">
        <v>20</v>
      </c>
      <c r="D18" s="1">
        <v>5</v>
      </c>
      <c r="E18" s="1">
        <v>103.059456</v>
      </c>
      <c r="F18" s="1">
        <v>7.7050000000000001</v>
      </c>
      <c r="G18" s="1">
        <v>0.76044699999999998</v>
      </c>
      <c r="I18" s="1" t="s">
        <v>19</v>
      </c>
      <c r="J18" s="1" t="s">
        <v>30</v>
      </c>
      <c r="K18" s="1" t="s">
        <v>30</v>
      </c>
      <c r="L18" s="1" t="s">
        <v>31</v>
      </c>
      <c r="M18" s="1">
        <v>0.57499999999999996</v>
      </c>
      <c r="N18" s="1">
        <v>0.518204</v>
      </c>
      <c r="O18" s="1">
        <v>102.056175</v>
      </c>
      <c r="P18" s="2">
        <v>2552.4299999999998</v>
      </c>
      <c r="Q18" s="2">
        <v>0</v>
      </c>
      <c r="R18" s="2">
        <v>0</v>
      </c>
      <c r="S18" s="2">
        <v>1906.98</v>
      </c>
      <c r="T18" s="2">
        <v>1257.3499999999999</v>
      </c>
      <c r="U18" s="2">
        <v>0</v>
      </c>
      <c r="V18" s="2">
        <v>25167.33</v>
      </c>
      <c r="W18" s="2">
        <v>50543.83</v>
      </c>
      <c r="X18" s="2">
        <v>19953.03</v>
      </c>
      <c r="Y18" s="1">
        <f t="shared" ca="1" si="0"/>
        <v>1476</v>
      </c>
      <c r="Z18" s="1">
        <f t="shared" ca="1" si="0"/>
        <v>7677</v>
      </c>
    </row>
    <row r="19" spans="2:26" x14ac:dyDescent="0.2">
      <c r="B19" s="1">
        <v>19</v>
      </c>
      <c r="C19" s="1">
        <v>21</v>
      </c>
      <c r="D19" s="1">
        <v>0</v>
      </c>
      <c r="E19" s="1">
        <v>104.062737</v>
      </c>
      <c r="F19" s="1">
        <v>7.6909999999999998</v>
      </c>
      <c r="G19" s="1">
        <v>5.9478000000000003E-2</v>
      </c>
      <c r="I19" s="1" t="s">
        <v>22</v>
      </c>
      <c r="J19" s="1" t="s">
        <v>30</v>
      </c>
      <c r="K19" s="1" t="s">
        <v>30</v>
      </c>
      <c r="L19" s="1" t="s">
        <v>31</v>
      </c>
      <c r="M19" s="1">
        <v>0.56100000000000005</v>
      </c>
      <c r="N19" s="1">
        <v>0.219946</v>
      </c>
      <c r="O19" s="1">
        <v>102.056175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4112.37</v>
      </c>
      <c r="Y19" s="1">
        <f t="shared" ca="1" si="0"/>
        <v>7674</v>
      </c>
      <c r="Z19" s="1">
        <f t="shared" ca="1" si="0"/>
        <v>7162</v>
      </c>
    </row>
    <row r="20" spans="2:26" x14ac:dyDescent="0.2">
      <c r="B20" s="1">
        <v>22</v>
      </c>
      <c r="C20" s="1">
        <v>22</v>
      </c>
      <c r="D20" s="1">
        <v>18</v>
      </c>
      <c r="E20" s="1">
        <v>103.04016900000001</v>
      </c>
      <c r="F20" s="1">
        <v>3.2549999999999999</v>
      </c>
      <c r="G20" s="1">
        <v>0.82818999999999998</v>
      </c>
      <c r="H20" s="1" t="s">
        <v>15</v>
      </c>
      <c r="I20" s="1" t="s">
        <v>16</v>
      </c>
      <c r="J20" s="1" t="s">
        <v>32</v>
      </c>
      <c r="K20" s="1" t="s">
        <v>32</v>
      </c>
      <c r="L20" s="1" t="s">
        <v>33</v>
      </c>
      <c r="M20" s="1">
        <v>0.495</v>
      </c>
      <c r="N20" s="1">
        <v>0.96255900000000005</v>
      </c>
      <c r="O20" s="1">
        <v>103.04016900000001</v>
      </c>
      <c r="P20" s="2">
        <v>11046935</v>
      </c>
      <c r="Q20" s="2">
        <v>6886183.5</v>
      </c>
      <c r="R20" s="2">
        <v>13023381</v>
      </c>
      <c r="S20" s="2">
        <v>9709022</v>
      </c>
      <c r="T20" s="2">
        <v>15534116</v>
      </c>
      <c r="U20" s="2">
        <v>20529038</v>
      </c>
      <c r="V20" s="2">
        <v>3146797</v>
      </c>
      <c r="W20" s="2">
        <v>1150128.3799999999</v>
      </c>
      <c r="X20" s="2">
        <v>5724174</v>
      </c>
      <c r="Y20" s="1">
        <f t="shared" ca="1" si="0"/>
        <v>1767</v>
      </c>
      <c r="Z20" s="1">
        <f t="shared" ca="1" si="0"/>
        <v>3480</v>
      </c>
    </row>
    <row r="21" spans="2:26" x14ac:dyDescent="0.2">
      <c r="B21" s="1">
        <v>22</v>
      </c>
      <c r="C21" s="1">
        <v>23</v>
      </c>
      <c r="D21" s="1">
        <v>10</v>
      </c>
      <c r="E21" s="1">
        <v>104.043541</v>
      </c>
      <c r="F21" s="1">
        <v>3.2589999999999999</v>
      </c>
      <c r="G21" s="1">
        <v>0.81664000000000003</v>
      </c>
      <c r="I21" s="1" t="s">
        <v>19</v>
      </c>
      <c r="J21" s="1" t="s">
        <v>32</v>
      </c>
      <c r="K21" s="1" t="s">
        <v>32</v>
      </c>
      <c r="L21" s="1" t="s">
        <v>33</v>
      </c>
      <c r="M21" s="1">
        <v>0.499</v>
      </c>
      <c r="N21" s="1">
        <v>1.1732629999999999</v>
      </c>
      <c r="O21" s="1">
        <v>103.04016900000001</v>
      </c>
      <c r="P21" s="2">
        <v>441538.34</v>
      </c>
      <c r="Q21" s="2">
        <v>245662</v>
      </c>
      <c r="R21" s="2">
        <v>506062.97</v>
      </c>
      <c r="S21" s="2">
        <v>372032.03</v>
      </c>
      <c r="T21" s="2">
        <v>620824.5</v>
      </c>
      <c r="U21" s="2">
        <v>786485.06</v>
      </c>
      <c r="V21" s="2">
        <v>122646.38</v>
      </c>
      <c r="W21" s="2">
        <v>47775.08</v>
      </c>
      <c r="X21" s="2">
        <v>157620.17000000001</v>
      </c>
      <c r="Y21" s="1">
        <f t="shared" ca="1" si="0"/>
        <v>3268</v>
      </c>
      <c r="Z21" s="1">
        <f t="shared" ca="1" si="0"/>
        <v>1403</v>
      </c>
    </row>
    <row r="22" spans="2:26" x14ac:dyDescent="0.2">
      <c r="B22" s="1">
        <v>22</v>
      </c>
      <c r="C22" s="1">
        <v>24</v>
      </c>
      <c r="D22" s="1">
        <v>1</v>
      </c>
      <c r="E22" s="1">
        <v>105.046913</v>
      </c>
      <c r="F22" s="1">
        <v>3.2829999999999999</v>
      </c>
      <c r="G22" s="1">
        <v>0.65292399999999995</v>
      </c>
      <c r="I22" s="1" t="s">
        <v>22</v>
      </c>
      <c r="J22" s="1" t="s">
        <v>32</v>
      </c>
      <c r="K22" s="1" t="s">
        <v>32</v>
      </c>
      <c r="L22" s="1" t="s">
        <v>33</v>
      </c>
      <c r="M22" s="1">
        <v>0.52300000000000002</v>
      </c>
      <c r="N22" s="1">
        <v>1.3073140000000001</v>
      </c>
      <c r="O22" s="1">
        <v>103.04016900000001</v>
      </c>
      <c r="P22" s="2">
        <v>0</v>
      </c>
      <c r="Q22" s="2">
        <v>0</v>
      </c>
      <c r="R22" s="2">
        <v>11818.1</v>
      </c>
      <c r="S22" s="2">
        <v>10042.58</v>
      </c>
      <c r="T22" s="2">
        <v>26755.279999999999</v>
      </c>
      <c r="U22" s="2">
        <v>25746.61</v>
      </c>
      <c r="V22" s="2">
        <v>0</v>
      </c>
      <c r="W22" s="2">
        <v>0</v>
      </c>
      <c r="X22" s="2">
        <v>20089.259999999998</v>
      </c>
      <c r="Y22" s="1">
        <f t="shared" ca="1" si="0"/>
        <v>7062</v>
      </c>
      <c r="Z22" s="1">
        <f t="shared" ca="1" si="0"/>
        <v>6499</v>
      </c>
    </row>
    <row r="23" spans="2:26" x14ac:dyDescent="0.2">
      <c r="B23" s="1">
        <v>25</v>
      </c>
      <c r="C23" s="1">
        <v>25</v>
      </c>
      <c r="D23" s="1">
        <v>18</v>
      </c>
      <c r="E23" s="1">
        <v>104.03544599999999</v>
      </c>
      <c r="F23" s="1">
        <v>7.2249999999999996</v>
      </c>
      <c r="G23" s="1">
        <v>0.82561799999999996</v>
      </c>
      <c r="H23" s="1" t="s">
        <v>15</v>
      </c>
      <c r="I23" s="1" t="s">
        <v>16</v>
      </c>
      <c r="J23" s="1" t="s">
        <v>34</v>
      </c>
      <c r="K23" s="1" t="s">
        <v>34</v>
      </c>
      <c r="L23" s="1" t="s">
        <v>35</v>
      </c>
      <c r="M23" s="1">
        <v>0.41499999999999998</v>
      </c>
      <c r="N23" s="1">
        <v>1.2466889999999999</v>
      </c>
      <c r="O23" s="1">
        <v>104.03544599999999</v>
      </c>
      <c r="P23" s="2">
        <v>8835652</v>
      </c>
      <c r="Q23" s="2">
        <v>4968714</v>
      </c>
      <c r="R23" s="2">
        <v>9275005</v>
      </c>
      <c r="S23" s="2">
        <v>5351147.5</v>
      </c>
      <c r="T23" s="2">
        <v>7918842</v>
      </c>
      <c r="U23" s="2">
        <v>12759440</v>
      </c>
      <c r="V23" s="2">
        <v>6824711.5</v>
      </c>
      <c r="W23" s="2">
        <v>9972089</v>
      </c>
      <c r="X23" s="2">
        <v>4120713.25</v>
      </c>
      <c r="Y23" s="1">
        <f t="shared" ca="1" si="0"/>
        <v>1170</v>
      </c>
      <c r="Z23" s="1">
        <f t="shared" ca="1" si="0"/>
        <v>6840</v>
      </c>
    </row>
    <row r="24" spans="2:26" x14ac:dyDescent="0.2">
      <c r="B24" s="1">
        <v>25</v>
      </c>
      <c r="C24" s="1">
        <v>26</v>
      </c>
      <c r="D24" s="1">
        <v>13</v>
      </c>
      <c r="E24" s="1">
        <v>105.038757</v>
      </c>
      <c r="F24" s="1">
        <v>7.2290000000000001</v>
      </c>
      <c r="G24" s="1">
        <v>0.79883300000000002</v>
      </c>
      <c r="I24" s="1" t="s">
        <v>19</v>
      </c>
      <c r="J24" s="1" t="s">
        <v>34</v>
      </c>
      <c r="K24" s="1" t="s">
        <v>34</v>
      </c>
      <c r="L24" s="1" t="s">
        <v>35</v>
      </c>
      <c r="M24" s="1">
        <v>0.41099999999999998</v>
      </c>
      <c r="N24" s="1">
        <v>0.79897600000000002</v>
      </c>
      <c r="O24" s="1">
        <v>104.03544599999999</v>
      </c>
      <c r="P24" s="2">
        <v>236877.55</v>
      </c>
      <c r="Q24" s="2">
        <v>119163.19</v>
      </c>
      <c r="R24" s="2">
        <v>254392.17</v>
      </c>
      <c r="S24" s="2">
        <v>176481.61</v>
      </c>
      <c r="T24" s="2">
        <v>225307.31</v>
      </c>
      <c r="U24" s="2">
        <v>348792.81</v>
      </c>
      <c r="V24" s="2">
        <v>192963.02</v>
      </c>
      <c r="W24" s="2">
        <v>325046.53000000003</v>
      </c>
      <c r="X24" s="2">
        <v>122145.53</v>
      </c>
      <c r="Y24" s="1">
        <f t="shared" ca="1" si="0"/>
        <v>1774</v>
      </c>
      <c r="Z24" s="1">
        <f t="shared" ca="1" si="0"/>
        <v>4979</v>
      </c>
    </row>
    <row r="25" spans="2:26" x14ac:dyDescent="0.2">
      <c r="B25" s="1">
        <v>25</v>
      </c>
      <c r="C25" s="1">
        <v>27</v>
      </c>
      <c r="D25" s="1">
        <v>2</v>
      </c>
      <c r="E25" s="1">
        <v>107.045509</v>
      </c>
      <c r="F25" s="1">
        <v>7.2270000000000003</v>
      </c>
      <c r="G25" s="1">
        <v>0.72140700000000002</v>
      </c>
      <c r="I25" s="1" t="s">
        <v>23</v>
      </c>
      <c r="J25" s="1" t="s">
        <v>34</v>
      </c>
      <c r="K25" s="1" t="s">
        <v>34</v>
      </c>
      <c r="L25" s="1" t="s">
        <v>35</v>
      </c>
      <c r="M25" s="1">
        <v>0.41299999999999998</v>
      </c>
      <c r="N25" s="1">
        <v>1.211633</v>
      </c>
      <c r="O25" s="1">
        <v>104.03544599999999</v>
      </c>
      <c r="P25" s="2">
        <v>0</v>
      </c>
      <c r="Q25" s="2">
        <v>0</v>
      </c>
      <c r="R25" s="2">
        <v>7703.12</v>
      </c>
      <c r="S25" s="2">
        <v>8304.77</v>
      </c>
      <c r="T25" s="2">
        <v>22552.32</v>
      </c>
      <c r="U25" s="2">
        <v>19964.689999999999</v>
      </c>
      <c r="V25" s="2">
        <v>0</v>
      </c>
      <c r="W25" s="2">
        <v>0</v>
      </c>
      <c r="X25" s="2">
        <v>0</v>
      </c>
      <c r="Y25" s="1">
        <f t="shared" ca="1" si="0"/>
        <v>2477</v>
      </c>
      <c r="Z25" s="1">
        <f t="shared" ca="1" si="0"/>
        <v>5318</v>
      </c>
    </row>
    <row r="26" spans="2:26" x14ac:dyDescent="0.2">
      <c r="B26" s="1">
        <v>28</v>
      </c>
      <c r="C26" s="1">
        <v>28</v>
      </c>
      <c r="D26" s="1">
        <v>18</v>
      </c>
      <c r="E26" s="1">
        <v>108.012604</v>
      </c>
      <c r="F26" s="1">
        <v>6.1790000000000003</v>
      </c>
      <c r="G26" s="1">
        <v>0.85237099999999999</v>
      </c>
      <c r="H26" s="1" t="s">
        <v>15</v>
      </c>
      <c r="I26" s="1" t="s">
        <v>16</v>
      </c>
      <c r="J26" s="1" t="s">
        <v>36</v>
      </c>
      <c r="K26" s="1" t="s">
        <v>36</v>
      </c>
      <c r="L26" s="1" t="s">
        <v>37</v>
      </c>
      <c r="M26" s="1">
        <v>2.1000000000000001E-2</v>
      </c>
      <c r="N26" s="1">
        <v>1.200785</v>
      </c>
      <c r="O26" s="1">
        <v>108.012604</v>
      </c>
      <c r="P26" s="2">
        <v>228555.2</v>
      </c>
      <c r="Q26" s="2">
        <v>179984.33</v>
      </c>
      <c r="R26" s="2">
        <v>713299.19</v>
      </c>
      <c r="S26" s="2">
        <v>245495.62</v>
      </c>
      <c r="T26" s="2">
        <v>110045.41</v>
      </c>
      <c r="U26" s="2">
        <v>246051.11</v>
      </c>
      <c r="V26" s="2">
        <v>2232842.5</v>
      </c>
      <c r="W26" s="2">
        <v>4715180.5</v>
      </c>
      <c r="X26" s="2">
        <v>11014773</v>
      </c>
      <c r="Y26" s="1">
        <f t="shared" ca="1" si="0"/>
        <v>4518</v>
      </c>
      <c r="Z26" s="1">
        <f t="shared" ca="1" si="0"/>
        <v>7395</v>
      </c>
    </row>
    <row r="27" spans="2:26" x14ac:dyDescent="0.2">
      <c r="B27" s="1">
        <v>28</v>
      </c>
      <c r="C27" s="1">
        <v>29</v>
      </c>
      <c r="D27" s="1">
        <v>5</v>
      </c>
      <c r="E27" s="1">
        <v>109.015869</v>
      </c>
      <c r="F27" s="1">
        <v>6.194</v>
      </c>
      <c r="G27" s="1">
        <v>0.82122899999999999</v>
      </c>
      <c r="I27" s="1" t="s">
        <v>19</v>
      </c>
      <c r="J27" s="1" t="s">
        <v>36</v>
      </c>
      <c r="K27" s="1" t="s">
        <v>36</v>
      </c>
      <c r="L27" s="1" t="s">
        <v>37</v>
      </c>
      <c r="M27" s="1">
        <v>6.0000000000000001E-3</v>
      </c>
      <c r="N27" s="1">
        <v>0.34992099999999998</v>
      </c>
      <c r="O27" s="1">
        <v>108.012604</v>
      </c>
      <c r="P27" s="2">
        <v>0</v>
      </c>
      <c r="Q27" s="2">
        <v>0</v>
      </c>
      <c r="R27" s="2">
        <v>9135.91</v>
      </c>
      <c r="S27" s="2">
        <v>0</v>
      </c>
      <c r="T27" s="2">
        <v>0</v>
      </c>
      <c r="U27" s="2">
        <v>0</v>
      </c>
      <c r="V27" s="2">
        <v>38118.57</v>
      </c>
      <c r="W27" s="2">
        <v>71110.44</v>
      </c>
      <c r="X27" s="2">
        <v>203023.88</v>
      </c>
      <c r="Y27" s="1">
        <f t="shared" ca="1" si="0"/>
        <v>6662</v>
      </c>
      <c r="Z27" s="1">
        <f t="shared" ca="1" si="0"/>
        <v>2595</v>
      </c>
    </row>
    <row r="28" spans="2:26" x14ac:dyDescent="0.2">
      <c r="B28" s="1">
        <v>30</v>
      </c>
      <c r="C28" s="1">
        <v>30</v>
      </c>
      <c r="D28" s="1">
        <v>10</v>
      </c>
      <c r="E28" s="1">
        <v>110.03604900000001</v>
      </c>
      <c r="F28" s="1">
        <v>2.9780000000000002</v>
      </c>
      <c r="G28" s="1">
        <v>0.83605300000000005</v>
      </c>
      <c r="H28" s="1" t="s">
        <v>15</v>
      </c>
      <c r="I28" s="1" t="s">
        <v>16</v>
      </c>
      <c r="J28" s="1" t="s">
        <v>38</v>
      </c>
      <c r="K28" s="1" t="s">
        <v>38</v>
      </c>
      <c r="L28" s="1" t="s">
        <v>39</v>
      </c>
      <c r="M28" s="1">
        <v>7.1999999999999995E-2</v>
      </c>
      <c r="N28" s="1">
        <v>0.55468399999999995</v>
      </c>
      <c r="O28" s="1">
        <v>110.03604900000001</v>
      </c>
      <c r="P28" s="2">
        <v>28769.26</v>
      </c>
      <c r="Q28" s="2">
        <v>31358.7</v>
      </c>
      <c r="R28" s="2">
        <v>29131.18</v>
      </c>
      <c r="S28" s="2">
        <v>19381.96</v>
      </c>
      <c r="T28" s="2">
        <v>11090.49</v>
      </c>
      <c r="U28" s="2">
        <v>8346.07</v>
      </c>
      <c r="V28" s="2">
        <v>19216.12</v>
      </c>
      <c r="W28" s="2">
        <v>18840.439999999999</v>
      </c>
      <c r="X28" s="2">
        <v>7420.8</v>
      </c>
      <c r="Y28" s="1">
        <f t="shared" ca="1" si="0"/>
        <v>4091</v>
      </c>
      <c r="Z28" s="1">
        <f t="shared" ca="1" si="0"/>
        <v>3977</v>
      </c>
    </row>
    <row r="29" spans="2:26" x14ac:dyDescent="0.2">
      <c r="B29" s="1">
        <v>30</v>
      </c>
      <c r="C29" s="1">
        <v>31</v>
      </c>
      <c r="D29" s="1">
        <v>0</v>
      </c>
      <c r="E29" s="1">
        <v>111.03923</v>
      </c>
      <c r="F29" s="1">
        <v>3.008</v>
      </c>
      <c r="G29" s="1">
        <v>5.6189999999999997E-2</v>
      </c>
      <c r="I29" s="1" t="s">
        <v>19</v>
      </c>
      <c r="J29" s="1" t="s">
        <v>38</v>
      </c>
      <c r="K29" s="1" t="s">
        <v>38</v>
      </c>
      <c r="L29" s="1" t="s">
        <v>39</v>
      </c>
      <c r="M29" s="1">
        <v>4.2000000000000003E-2</v>
      </c>
      <c r="N29" s="1">
        <v>0.96192500000000003</v>
      </c>
      <c r="O29" s="1">
        <v>110.03604900000001</v>
      </c>
      <c r="P29" s="2">
        <v>0</v>
      </c>
      <c r="Q29" s="2">
        <v>0</v>
      </c>
      <c r="R29" s="2">
        <v>0</v>
      </c>
      <c r="S29" s="2">
        <v>3026.99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1">
        <f t="shared" ca="1" si="0"/>
        <v>7582</v>
      </c>
      <c r="Z29" s="1">
        <f t="shared" ca="1" si="0"/>
        <v>5561</v>
      </c>
    </row>
    <row r="30" spans="2:26" x14ac:dyDescent="0.2">
      <c r="B30" s="1">
        <v>32</v>
      </c>
      <c r="C30" s="1">
        <v>32</v>
      </c>
      <c r="D30" s="1">
        <v>4</v>
      </c>
      <c r="E30" s="1">
        <v>110.072487</v>
      </c>
      <c r="F30" s="1">
        <v>8.7720000000000002</v>
      </c>
      <c r="G30" s="1">
        <v>0.83646600000000004</v>
      </c>
      <c r="H30" s="1" t="s">
        <v>15</v>
      </c>
      <c r="I30" s="1" t="s">
        <v>16</v>
      </c>
      <c r="J30" s="1" t="s">
        <v>40</v>
      </c>
      <c r="K30" s="1" t="s">
        <v>40</v>
      </c>
      <c r="L30" s="1" t="s">
        <v>41</v>
      </c>
      <c r="M30" s="1">
        <v>0.91800000000000004</v>
      </c>
      <c r="N30" s="1">
        <v>1.0396879999999999</v>
      </c>
      <c r="O30" s="1">
        <v>110.072487</v>
      </c>
      <c r="P30" s="2">
        <v>0</v>
      </c>
      <c r="Q30" s="2">
        <v>993.09</v>
      </c>
      <c r="R30" s="2">
        <v>0</v>
      </c>
      <c r="S30" s="2">
        <v>0</v>
      </c>
      <c r="T30" s="2">
        <v>0</v>
      </c>
      <c r="U30" s="2">
        <v>1377.95</v>
      </c>
      <c r="V30" s="2">
        <v>203411.58</v>
      </c>
      <c r="W30" s="2">
        <v>104443.91</v>
      </c>
      <c r="X30" s="2">
        <v>0</v>
      </c>
      <c r="Y30" s="1">
        <f t="shared" ca="1" si="0"/>
        <v>5899</v>
      </c>
      <c r="Z30" s="1">
        <f t="shared" ca="1" si="0"/>
        <v>4915</v>
      </c>
    </row>
    <row r="31" spans="2:26" x14ac:dyDescent="0.2">
      <c r="B31" s="1">
        <v>32</v>
      </c>
      <c r="C31" s="1">
        <v>33</v>
      </c>
      <c r="D31" s="1">
        <v>0</v>
      </c>
      <c r="E31" s="1">
        <v>111.07579</v>
      </c>
      <c r="F31" s="1">
        <v>8.7089999999999996</v>
      </c>
      <c r="G31" s="1">
        <v>0.42413200000000001</v>
      </c>
      <c r="I31" s="1" t="s">
        <v>19</v>
      </c>
      <c r="J31" s="1" t="s">
        <v>40</v>
      </c>
      <c r="K31" s="1" t="s">
        <v>40</v>
      </c>
      <c r="L31" s="1" t="s">
        <v>41</v>
      </c>
      <c r="M31" s="1">
        <v>0.98099999999999998</v>
      </c>
      <c r="N31" s="1">
        <v>0.61817800000000001</v>
      </c>
      <c r="O31" s="1">
        <v>110.072487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4604.32</v>
      </c>
      <c r="W31" s="2">
        <v>5526.22</v>
      </c>
      <c r="X31" s="2">
        <v>0</v>
      </c>
      <c r="Y31" s="1">
        <f t="shared" ca="1" si="0"/>
        <v>1246</v>
      </c>
      <c r="Z31" s="1">
        <f t="shared" ca="1" si="0"/>
        <v>2624</v>
      </c>
    </row>
    <row r="32" spans="2:26" x14ac:dyDescent="0.2">
      <c r="B32" s="1">
        <v>34</v>
      </c>
      <c r="C32" s="1">
        <v>34</v>
      </c>
      <c r="D32" s="1">
        <v>18</v>
      </c>
      <c r="E32" s="1">
        <v>111.020111</v>
      </c>
      <c r="F32" s="1">
        <v>2.0049999999999999</v>
      </c>
      <c r="G32" s="1">
        <v>0.82889000000000002</v>
      </c>
      <c r="H32" s="1" t="s">
        <v>15</v>
      </c>
      <c r="I32" s="1" t="s">
        <v>16</v>
      </c>
      <c r="J32" s="1" t="s">
        <v>42</v>
      </c>
      <c r="K32" s="1" t="s">
        <v>42</v>
      </c>
      <c r="L32" s="1" t="s">
        <v>43</v>
      </c>
      <c r="M32" s="1">
        <v>0.13500000000000001</v>
      </c>
      <c r="N32" s="1">
        <v>0.96209299999999998</v>
      </c>
      <c r="O32" s="1">
        <v>111.020111</v>
      </c>
      <c r="P32" s="2">
        <v>1034970.69</v>
      </c>
      <c r="Q32" s="2">
        <v>740194.5</v>
      </c>
      <c r="R32" s="2">
        <v>1572622.5</v>
      </c>
      <c r="S32" s="2">
        <v>796031.56</v>
      </c>
      <c r="T32" s="2">
        <v>1159478.8799999999</v>
      </c>
      <c r="U32" s="2">
        <v>1397012.12</v>
      </c>
      <c r="V32" s="2">
        <v>739797.94</v>
      </c>
      <c r="W32" s="2">
        <v>1012447.06</v>
      </c>
      <c r="X32" s="2">
        <v>869401</v>
      </c>
      <c r="Y32" s="1">
        <f t="shared" ca="1" si="0"/>
        <v>3684</v>
      </c>
      <c r="Z32" s="1">
        <f t="shared" ca="1" si="0"/>
        <v>5409</v>
      </c>
    </row>
    <row r="33" spans="2:26" x14ac:dyDescent="0.2">
      <c r="B33" s="1">
        <v>34</v>
      </c>
      <c r="C33" s="1">
        <v>35</v>
      </c>
      <c r="D33" s="1">
        <v>13</v>
      </c>
      <c r="E33" s="1">
        <v>112.023499</v>
      </c>
      <c r="F33" s="1">
        <v>2.0059999999999998</v>
      </c>
      <c r="G33" s="1">
        <v>0.81579699999999999</v>
      </c>
      <c r="I33" s="1" t="s">
        <v>19</v>
      </c>
      <c r="J33" s="1" t="s">
        <v>42</v>
      </c>
      <c r="K33" s="1" t="s">
        <v>42</v>
      </c>
      <c r="L33" s="1" t="s">
        <v>43</v>
      </c>
      <c r="M33" s="1">
        <v>0.13400000000000001</v>
      </c>
      <c r="N33" s="1">
        <v>1.2940020000000001</v>
      </c>
      <c r="O33" s="1">
        <v>111.020111</v>
      </c>
      <c r="P33" s="2">
        <v>30644.17</v>
      </c>
      <c r="Q33" s="2">
        <v>22562.67</v>
      </c>
      <c r="R33" s="2">
        <v>46986.93</v>
      </c>
      <c r="S33" s="2">
        <v>25182.38</v>
      </c>
      <c r="T33" s="2">
        <v>38615.800000000003</v>
      </c>
      <c r="U33" s="2">
        <v>50371.92</v>
      </c>
      <c r="V33" s="2">
        <v>27717.82</v>
      </c>
      <c r="W33" s="2">
        <v>34944.11</v>
      </c>
      <c r="X33" s="2">
        <v>31230.639999999999</v>
      </c>
      <c r="Y33" s="1">
        <f t="shared" ca="1" si="0"/>
        <v>7079</v>
      </c>
      <c r="Z33" s="1">
        <f t="shared" ca="1" si="0"/>
        <v>6797</v>
      </c>
    </row>
    <row r="34" spans="2:26" x14ac:dyDescent="0.2">
      <c r="B34" s="1">
        <v>36</v>
      </c>
      <c r="C34" s="1">
        <v>36</v>
      </c>
      <c r="D34" s="1">
        <v>14</v>
      </c>
      <c r="E34" s="1">
        <v>112.05175</v>
      </c>
      <c r="F34" s="1">
        <v>2.6459999999999999</v>
      </c>
      <c r="G34" s="1">
        <v>0.82798899999999998</v>
      </c>
      <c r="H34" s="1" t="s">
        <v>15</v>
      </c>
      <c r="I34" s="1" t="s">
        <v>16</v>
      </c>
      <c r="J34" s="1" t="s">
        <v>44</v>
      </c>
      <c r="K34" s="1" t="s">
        <v>44</v>
      </c>
      <c r="L34" s="1" t="s">
        <v>45</v>
      </c>
      <c r="M34" s="1">
        <v>6.4000000000000001E-2</v>
      </c>
      <c r="N34" s="1">
        <v>1.021323</v>
      </c>
      <c r="O34" s="1">
        <v>112.05175</v>
      </c>
      <c r="P34" s="2">
        <v>1160897.5</v>
      </c>
      <c r="Q34" s="2">
        <v>1511895</v>
      </c>
      <c r="R34" s="2">
        <v>1112470.3799999999</v>
      </c>
      <c r="S34" s="2">
        <v>686381.81</v>
      </c>
      <c r="T34" s="2">
        <v>927168.69</v>
      </c>
      <c r="U34" s="2">
        <v>1179424.8799999999</v>
      </c>
      <c r="V34" s="2">
        <v>1633292</v>
      </c>
      <c r="W34" s="2">
        <v>839541.19</v>
      </c>
      <c r="X34" s="2">
        <v>496769.84</v>
      </c>
      <c r="Y34" s="1">
        <f t="shared" ca="1" si="0"/>
        <v>4443</v>
      </c>
      <c r="Z34" s="1">
        <f t="shared" ca="1" si="0"/>
        <v>1844</v>
      </c>
    </row>
    <row r="35" spans="2:26" x14ac:dyDescent="0.2">
      <c r="B35" s="1">
        <v>36</v>
      </c>
      <c r="C35" s="1">
        <v>37</v>
      </c>
      <c r="D35" s="1">
        <v>10</v>
      </c>
      <c r="E35" s="1">
        <v>113.055138</v>
      </c>
      <c r="F35" s="1">
        <v>2.6469999999999998</v>
      </c>
      <c r="G35" s="1">
        <v>0.80738900000000002</v>
      </c>
      <c r="I35" s="1" t="s">
        <v>19</v>
      </c>
      <c r="J35" s="1" t="s">
        <v>44</v>
      </c>
      <c r="K35" s="1" t="s">
        <v>44</v>
      </c>
      <c r="L35" s="1" t="s">
        <v>45</v>
      </c>
      <c r="M35" s="1">
        <v>6.3E-2</v>
      </c>
      <c r="N35" s="1">
        <v>1.3496790000000001</v>
      </c>
      <c r="O35" s="1">
        <v>112.05175</v>
      </c>
      <c r="P35" s="2">
        <v>37849.47</v>
      </c>
      <c r="Q35" s="2">
        <v>39478.67</v>
      </c>
      <c r="R35" s="2">
        <v>40930.61</v>
      </c>
      <c r="S35" s="2">
        <v>22822.81</v>
      </c>
      <c r="T35" s="2">
        <v>27167.599999999999</v>
      </c>
      <c r="U35" s="2">
        <v>39498.44</v>
      </c>
      <c r="V35" s="2">
        <v>55352.03</v>
      </c>
      <c r="W35" s="2">
        <v>29551</v>
      </c>
      <c r="X35" s="2">
        <v>10360.74</v>
      </c>
      <c r="Y35" s="1">
        <f t="shared" ca="1" si="0"/>
        <v>2348</v>
      </c>
      <c r="Z35" s="1">
        <f t="shared" ca="1" si="0"/>
        <v>1308</v>
      </c>
    </row>
    <row r="36" spans="2:26" x14ac:dyDescent="0.2">
      <c r="B36" s="1">
        <v>38</v>
      </c>
      <c r="C36" s="1">
        <v>38</v>
      </c>
      <c r="D36" s="1">
        <v>18</v>
      </c>
      <c r="E36" s="1">
        <v>114.056122</v>
      </c>
      <c r="F36" s="1">
        <v>5.4950000000000001</v>
      </c>
      <c r="G36" s="1">
        <v>0.83043299999999998</v>
      </c>
      <c r="H36" s="1" t="s">
        <v>15</v>
      </c>
      <c r="I36" s="1" t="s">
        <v>16</v>
      </c>
      <c r="J36" s="1" t="s">
        <v>46</v>
      </c>
      <c r="K36" s="1" t="s">
        <v>46</v>
      </c>
      <c r="L36" s="1" t="s">
        <v>47</v>
      </c>
      <c r="M36" s="1">
        <v>0.14499999999999999</v>
      </c>
      <c r="N36" s="1">
        <v>0.60202500000000003</v>
      </c>
      <c r="O36" s="1">
        <v>114.056122</v>
      </c>
      <c r="P36" s="2">
        <v>8303900.5</v>
      </c>
      <c r="Q36" s="2">
        <v>3748342.25</v>
      </c>
      <c r="R36" s="2">
        <v>8471554</v>
      </c>
      <c r="S36" s="2">
        <v>5449444.5</v>
      </c>
      <c r="T36" s="2">
        <v>8557527</v>
      </c>
      <c r="U36" s="2">
        <v>10709768</v>
      </c>
      <c r="V36" s="2">
        <v>3366534.25</v>
      </c>
      <c r="W36" s="2">
        <v>2376643.75</v>
      </c>
      <c r="X36" s="2">
        <v>3494978.25</v>
      </c>
      <c r="Y36" s="1">
        <f t="shared" ca="1" si="0"/>
        <v>4431</v>
      </c>
      <c r="Z36" s="1">
        <f t="shared" ca="1" si="0"/>
        <v>4486</v>
      </c>
    </row>
    <row r="37" spans="2:26" x14ac:dyDescent="0.2">
      <c r="B37" s="1">
        <v>38</v>
      </c>
      <c r="C37" s="1">
        <v>39</v>
      </c>
      <c r="D37" s="1">
        <v>10</v>
      </c>
      <c r="E37" s="1">
        <v>115.059555</v>
      </c>
      <c r="F37" s="1">
        <v>5.4950000000000001</v>
      </c>
      <c r="G37" s="1">
        <v>0.82797500000000002</v>
      </c>
      <c r="I37" s="1" t="s">
        <v>19</v>
      </c>
      <c r="J37" s="1" t="s">
        <v>46</v>
      </c>
      <c r="K37" s="1" t="s">
        <v>46</v>
      </c>
      <c r="L37" s="1" t="s">
        <v>47</v>
      </c>
      <c r="M37" s="1">
        <v>0.14499999999999999</v>
      </c>
      <c r="N37" s="1">
        <v>1.326166</v>
      </c>
      <c r="O37" s="1">
        <v>114.056122</v>
      </c>
      <c r="P37" s="2">
        <v>351121.66</v>
      </c>
      <c r="Q37" s="2">
        <v>161204.42000000001</v>
      </c>
      <c r="R37" s="2">
        <v>374939.78</v>
      </c>
      <c r="S37" s="2">
        <v>259356.31</v>
      </c>
      <c r="T37" s="2">
        <v>380206.59</v>
      </c>
      <c r="U37" s="2">
        <v>457545.12</v>
      </c>
      <c r="V37" s="2">
        <v>134331.85999999999</v>
      </c>
      <c r="W37" s="2">
        <v>98148.21</v>
      </c>
      <c r="X37" s="2">
        <v>146559.81</v>
      </c>
      <c r="Y37" s="1">
        <f t="shared" ca="1" si="0"/>
        <v>6455</v>
      </c>
      <c r="Z37" s="1">
        <f t="shared" ca="1" si="0"/>
        <v>5287</v>
      </c>
    </row>
    <row r="38" spans="2:26" x14ac:dyDescent="0.2">
      <c r="B38" s="1">
        <v>38</v>
      </c>
      <c r="C38" s="1">
        <v>40</v>
      </c>
      <c r="D38" s="1">
        <v>0</v>
      </c>
      <c r="E38" s="1">
        <v>116.06279000000001</v>
      </c>
      <c r="F38" s="1">
        <v>5.4450000000000003</v>
      </c>
      <c r="G38" s="1">
        <v>6.3960000000000003E-2</v>
      </c>
      <c r="I38" s="1" t="s">
        <v>22</v>
      </c>
      <c r="J38" s="1" t="s">
        <v>46</v>
      </c>
      <c r="K38" s="1" t="s">
        <v>46</v>
      </c>
      <c r="L38" s="1" t="s">
        <v>47</v>
      </c>
      <c r="M38" s="1">
        <v>0.19500000000000001</v>
      </c>
      <c r="N38" s="1">
        <v>0.26294000000000001</v>
      </c>
      <c r="O38" s="1">
        <v>114.056122</v>
      </c>
      <c r="P38" s="2">
        <v>6541.53</v>
      </c>
      <c r="Q38" s="2">
        <v>0</v>
      </c>
      <c r="R38" s="2">
        <v>0</v>
      </c>
      <c r="S38" s="2">
        <v>0</v>
      </c>
      <c r="T38" s="2">
        <v>0</v>
      </c>
      <c r="U38" s="2">
        <v>12711.36</v>
      </c>
      <c r="V38" s="2">
        <v>0</v>
      </c>
      <c r="W38" s="2">
        <v>0</v>
      </c>
      <c r="X38" s="2">
        <v>0</v>
      </c>
      <c r="Y38" s="1">
        <f t="shared" ca="1" si="0"/>
        <v>5122</v>
      </c>
      <c r="Z38" s="1">
        <f t="shared" ca="1" si="0"/>
        <v>3702</v>
      </c>
    </row>
    <row r="39" spans="2:26" x14ac:dyDescent="0.2">
      <c r="B39" s="1">
        <v>38</v>
      </c>
      <c r="C39" s="1">
        <v>41</v>
      </c>
      <c r="D39" s="1">
        <v>0</v>
      </c>
      <c r="E39" s="1">
        <v>119.072716</v>
      </c>
      <c r="F39" s="1">
        <v>5.5540000000000003</v>
      </c>
      <c r="G39" s="1">
        <v>5.9628E-2</v>
      </c>
      <c r="I39" s="1" t="s">
        <v>48</v>
      </c>
      <c r="J39" s="1" t="s">
        <v>46</v>
      </c>
      <c r="K39" s="1" t="s">
        <v>46</v>
      </c>
      <c r="L39" s="1" t="s">
        <v>47</v>
      </c>
      <c r="M39" s="1">
        <v>8.5999999999999993E-2</v>
      </c>
      <c r="N39" s="1">
        <v>0.89702700000000002</v>
      </c>
      <c r="O39" s="1">
        <v>114.056122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1">
        <f t="shared" ca="1" si="0"/>
        <v>4139</v>
      </c>
      <c r="Z39" s="1">
        <f t="shared" ca="1" si="0"/>
        <v>6512</v>
      </c>
    </row>
    <row r="40" spans="2:26" x14ac:dyDescent="0.2">
      <c r="B40" s="1">
        <v>42</v>
      </c>
      <c r="C40" s="1">
        <v>42</v>
      </c>
      <c r="D40" s="1">
        <v>18</v>
      </c>
      <c r="E40" s="1">
        <v>115.003822</v>
      </c>
      <c r="F40" s="1">
        <v>6.5960000000000001</v>
      </c>
      <c r="G40" s="1">
        <v>0.82502399999999998</v>
      </c>
      <c r="H40" s="1" t="s">
        <v>15</v>
      </c>
      <c r="I40" s="1" t="s">
        <v>16</v>
      </c>
      <c r="J40" s="1" t="s">
        <v>49</v>
      </c>
      <c r="K40" s="1" t="s">
        <v>49</v>
      </c>
      <c r="L40" s="1" t="s">
        <v>50</v>
      </c>
      <c r="M40" s="1">
        <v>0.39400000000000002</v>
      </c>
      <c r="N40" s="1">
        <v>1.1941280000000001</v>
      </c>
      <c r="O40" s="1">
        <v>115.003822</v>
      </c>
      <c r="P40" s="2">
        <v>886312.56</v>
      </c>
      <c r="Q40" s="2">
        <v>744849</v>
      </c>
      <c r="R40" s="2">
        <v>849934.75</v>
      </c>
      <c r="S40" s="2">
        <v>858924.31</v>
      </c>
      <c r="T40" s="2">
        <v>855266.5</v>
      </c>
      <c r="U40" s="2">
        <v>872035.56</v>
      </c>
      <c r="V40" s="2">
        <v>1741895.38</v>
      </c>
      <c r="W40" s="2">
        <v>2677275</v>
      </c>
      <c r="X40" s="2">
        <v>8398866</v>
      </c>
      <c r="Y40" s="1">
        <f t="shared" ca="1" si="0"/>
        <v>4545</v>
      </c>
      <c r="Z40" s="1">
        <f t="shared" ca="1" si="0"/>
        <v>7948</v>
      </c>
    </row>
    <row r="41" spans="2:26" x14ac:dyDescent="0.2">
      <c r="B41" s="1">
        <v>42</v>
      </c>
      <c r="C41" s="1">
        <v>43</v>
      </c>
      <c r="D41" s="1">
        <v>16</v>
      </c>
      <c r="E41" s="1">
        <v>116.007164</v>
      </c>
      <c r="F41" s="1">
        <v>6.6070000000000002</v>
      </c>
      <c r="G41" s="1">
        <v>0.83388099999999998</v>
      </c>
      <c r="I41" s="1" t="s">
        <v>19</v>
      </c>
      <c r="J41" s="1" t="s">
        <v>49</v>
      </c>
      <c r="K41" s="1" t="s">
        <v>49</v>
      </c>
      <c r="L41" s="1" t="s">
        <v>50</v>
      </c>
      <c r="M41" s="1">
        <v>0.38300000000000001</v>
      </c>
      <c r="N41" s="1">
        <v>1.1180330000000001</v>
      </c>
      <c r="O41" s="1">
        <v>115.003822</v>
      </c>
      <c r="P41" s="2">
        <v>30668.44</v>
      </c>
      <c r="Q41" s="2">
        <v>19154.07</v>
      </c>
      <c r="R41" s="2">
        <v>28256.97</v>
      </c>
      <c r="S41" s="2">
        <v>34887.35</v>
      </c>
      <c r="T41" s="2">
        <v>29454.01</v>
      </c>
      <c r="U41" s="2">
        <v>27932.98</v>
      </c>
      <c r="V41" s="2">
        <v>59172.31</v>
      </c>
      <c r="W41" s="2">
        <v>110466.91</v>
      </c>
      <c r="X41" s="2">
        <v>467133.97</v>
      </c>
      <c r="Y41" s="1">
        <f t="shared" ca="1" si="0"/>
        <v>4126</v>
      </c>
      <c r="Z41" s="1">
        <f t="shared" ca="1" si="0"/>
        <v>5559</v>
      </c>
    </row>
    <row r="42" spans="2:26" x14ac:dyDescent="0.2">
      <c r="B42" s="1">
        <v>42</v>
      </c>
      <c r="C42" s="1">
        <v>44</v>
      </c>
      <c r="D42" s="1">
        <v>3</v>
      </c>
      <c r="E42" s="1">
        <v>117.01056699999999</v>
      </c>
      <c r="F42" s="1">
        <v>6.7779999999999996</v>
      </c>
      <c r="G42" s="1">
        <v>0.67124899999999998</v>
      </c>
      <c r="I42" s="1" t="s">
        <v>22</v>
      </c>
      <c r="J42" s="1" t="s">
        <v>49</v>
      </c>
      <c r="K42" s="1" t="s">
        <v>49</v>
      </c>
      <c r="L42" s="1" t="s">
        <v>50</v>
      </c>
      <c r="M42" s="1">
        <v>0.21199999999999999</v>
      </c>
      <c r="N42" s="1">
        <v>1.4996620000000001</v>
      </c>
      <c r="O42" s="1">
        <v>115.003822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7444.72</v>
      </c>
      <c r="X42" s="2">
        <v>59529.63</v>
      </c>
      <c r="Y42" s="1">
        <f t="shared" ca="1" si="0"/>
        <v>6508</v>
      </c>
      <c r="Z42" s="1">
        <f t="shared" ca="1" si="0"/>
        <v>7019</v>
      </c>
    </row>
    <row r="43" spans="2:26" x14ac:dyDescent="0.2">
      <c r="B43" s="1">
        <v>42</v>
      </c>
      <c r="C43" s="1">
        <v>45</v>
      </c>
      <c r="D43" s="1">
        <v>1</v>
      </c>
      <c r="E43" s="1">
        <v>118.01396200000001</v>
      </c>
      <c r="F43" s="1">
        <v>6.7439999999999998</v>
      </c>
      <c r="G43" s="1">
        <v>0.813303</v>
      </c>
      <c r="I43" s="1" t="s">
        <v>23</v>
      </c>
      <c r="J43" s="1" t="s">
        <v>49</v>
      </c>
      <c r="K43" s="1" t="s">
        <v>49</v>
      </c>
      <c r="L43" s="1" t="s">
        <v>50</v>
      </c>
      <c r="M43" s="1">
        <v>0.246</v>
      </c>
      <c r="N43" s="1">
        <v>1.810154</v>
      </c>
      <c r="O43" s="1">
        <v>115.003822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1770.04</v>
      </c>
      <c r="X43" s="2">
        <v>51088.2</v>
      </c>
      <c r="Y43" s="1">
        <f t="shared" ca="1" si="0"/>
        <v>7377</v>
      </c>
      <c r="Z43" s="1">
        <f t="shared" ca="1" si="0"/>
        <v>3678</v>
      </c>
    </row>
    <row r="44" spans="2:26" x14ac:dyDescent="0.2">
      <c r="B44" s="1">
        <v>46</v>
      </c>
      <c r="C44" s="1">
        <v>46</v>
      </c>
      <c r="D44" s="1">
        <v>18</v>
      </c>
      <c r="E44" s="1">
        <v>116.03546900000001</v>
      </c>
      <c r="F44" s="1">
        <v>3.89</v>
      </c>
      <c r="G44" s="1">
        <v>0.85002900000000003</v>
      </c>
      <c r="H44" s="1" t="s">
        <v>15</v>
      </c>
      <c r="I44" s="1" t="s">
        <v>16</v>
      </c>
      <c r="J44" s="1" t="s">
        <v>51</v>
      </c>
      <c r="K44" s="1" t="s">
        <v>51</v>
      </c>
      <c r="L44" s="1" t="s">
        <v>52</v>
      </c>
      <c r="M44" s="1">
        <v>0.17</v>
      </c>
      <c r="N44" s="1">
        <v>1.3150120000000001</v>
      </c>
      <c r="O44" s="1">
        <v>116.03546900000001</v>
      </c>
      <c r="P44" s="2">
        <v>894317.31</v>
      </c>
      <c r="Q44" s="2">
        <v>1116185.1200000001</v>
      </c>
      <c r="R44" s="2">
        <v>598804.31000000006</v>
      </c>
      <c r="S44" s="2">
        <v>365711.41</v>
      </c>
      <c r="T44" s="2">
        <v>614686.56000000006</v>
      </c>
      <c r="U44" s="2">
        <v>769943.31</v>
      </c>
      <c r="V44" s="2">
        <v>38893</v>
      </c>
      <c r="W44" s="2">
        <v>56065.02</v>
      </c>
      <c r="X44" s="2">
        <v>134243.66</v>
      </c>
      <c r="Y44" s="1">
        <f t="shared" ca="1" si="0"/>
        <v>6296</v>
      </c>
      <c r="Z44" s="1">
        <f t="shared" ca="1" si="0"/>
        <v>7139</v>
      </c>
    </row>
    <row r="45" spans="2:26" x14ac:dyDescent="0.2">
      <c r="B45" s="1">
        <v>46</v>
      </c>
      <c r="C45" s="1">
        <v>47</v>
      </c>
      <c r="D45" s="1">
        <v>9</v>
      </c>
      <c r="E45" s="1">
        <v>117.038803</v>
      </c>
      <c r="F45" s="1">
        <v>3.8620000000000001</v>
      </c>
      <c r="G45" s="1">
        <v>0.75507299999999999</v>
      </c>
      <c r="I45" s="1" t="s">
        <v>19</v>
      </c>
      <c r="J45" s="1" t="s">
        <v>51</v>
      </c>
      <c r="K45" s="1" t="s">
        <v>51</v>
      </c>
      <c r="L45" s="1" t="s">
        <v>52</v>
      </c>
      <c r="M45" s="1">
        <v>0.19800000000000001</v>
      </c>
      <c r="N45" s="1">
        <v>1.1081780000000001</v>
      </c>
      <c r="O45" s="1">
        <v>116.03546900000001</v>
      </c>
      <c r="P45" s="2">
        <v>28387.8</v>
      </c>
      <c r="Q45" s="2">
        <v>39913.620000000003</v>
      </c>
      <c r="R45" s="2">
        <v>16949.240000000002</v>
      </c>
      <c r="S45" s="2">
        <v>16889.740000000002</v>
      </c>
      <c r="T45" s="2">
        <v>10783.62</v>
      </c>
      <c r="U45" s="2">
        <v>28223.72</v>
      </c>
      <c r="V45" s="2">
        <v>3086.86</v>
      </c>
      <c r="W45" s="2">
        <v>0</v>
      </c>
      <c r="X45" s="2">
        <v>3000.91</v>
      </c>
      <c r="Y45" s="1">
        <f t="shared" ca="1" si="0"/>
        <v>4478</v>
      </c>
      <c r="Z45" s="1">
        <f t="shared" ca="1" si="0"/>
        <v>5166</v>
      </c>
    </row>
    <row r="46" spans="2:26" x14ac:dyDescent="0.2">
      <c r="B46" s="1">
        <v>48</v>
      </c>
      <c r="C46" s="1">
        <v>48</v>
      </c>
      <c r="D46" s="1">
        <v>13</v>
      </c>
      <c r="E46" s="1">
        <v>116.046661</v>
      </c>
      <c r="F46" s="1">
        <v>6.3250000000000002</v>
      </c>
      <c r="G46" s="1">
        <v>0.85149399999999997</v>
      </c>
      <c r="H46" s="1" t="s">
        <v>15</v>
      </c>
      <c r="I46" s="1" t="s">
        <v>16</v>
      </c>
      <c r="J46" s="1" t="s">
        <v>53</v>
      </c>
      <c r="K46" s="1" t="s">
        <v>53</v>
      </c>
      <c r="L46" s="1" t="s">
        <v>54</v>
      </c>
      <c r="M46" s="1">
        <v>0.105</v>
      </c>
      <c r="N46" s="1">
        <v>0.98616400000000004</v>
      </c>
      <c r="O46" s="1">
        <v>116.046661</v>
      </c>
      <c r="P46" s="2">
        <v>52856.36</v>
      </c>
      <c r="Q46" s="2">
        <v>58985.7</v>
      </c>
      <c r="R46" s="2">
        <v>56598.53</v>
      </c>
      <c r="S46" s="2">
        <v>28444.3</v>
      </c>
      <c r="T46" s="2">
        <v>53896.99</v>
      </c>
      <c r="U46" s="2">
        <v>68811.289999999994</v>
      </c>
      <c r="V46" s="2">
        <v>0</v>
      </c>
      <c r="W46" s="2">
        <v>0</v>
      </c>
      <c r="X46" s="2">
        <v>16462.259999999998</v>
      </c>
      <c r="Y46" s="1">
        <f t="shared" ca="1" si="0"/>
        <v>6935</v>
      </c>
      <c r="Z46" s="1">
        <f t="shared" ca="1" si="0"/>
        <v>4580</v>
      </c>
    </row>
    <row r="47" spans="2:26" x14ac:dyDescent="0.2">
      <c r="B47" s="1">
        <v>49</v>
      </c>
      <c r="C47" s="1">
        <v>49</v>
      </c>
      <c r="D47" s="1">
        <v>18</v>
      </c>
      <c r="E47" s="1">
        <v>116.07184599999999</v>
      </c>
      <c r="F47" s="1">
        <v>5.2110000000000003</v>
      </c>
      <c r="G47" s="1">
        <v>0.83097299999999996</v>
      </c>
      <c r="H47" s="1" t="s">
        <v>15</v>
      </c>
      <c r="I47" s="1" t="s">
        <v>16</v>
      </c>
      <c r="J47" s="1" t="s">
        <v>55</v>
      </c>
      <c r="K47" s="1" t="s">
        <v>55</v>
      </c>
      <c r="L47" s="1" t="s">
        <v>56</v>
      </c>
      <c r="M47" s="1">
        <v>0.19900000000000001</v>
      </c>
      <c r="N47" s="1">
        <v>1.2488699999999999</v>
      </c>
      <c r="O47" s="1">
        <v>116.07184599999999</v>
      </c>
      <c r="P47" s="2">
        <v>10562129</v>
      </c>
      <c r="Q47" s="2">
        <v>3879971.25</v>
      </c>
      <c r="R47" s="2">
        <v>11067421</v>
      </c>
      <c r="S47" s="2">
        <v>6478940.5</v>
      </c>
      <c r="T47" s="2">
        <v>10858748</v>
      </c>
      <c r="U47" s="2">
        <v>15682152</v>
      </c>
      <c r="V47" s="2">
        <v>3058812.25</v>
      </c>
      <c r="W47" s="2">
        <v>2501702</v>
      </c>
      <c r="X47" s="2">
        <v>5804158</v>
      </c>
      <c r="Y47" s="1">
        <f t="shared" ca="1" si="0"/>
        <v>7085</v>
      </c>
      <c r="Z47" s="1">
        <f t="shared" ca="1" si="0"/>
        <v>1912</v>
      </c>
    </row>
    <row r="48" spans="2:26" x14ac:dyDescent="0.2">
      <c r="B48" s="1">
        <v>49</v>
      </c>
      <c r="C48" s="1">
        <v>50</v>
      </c>
      <c r="D48" s="1">
        <v>17</v>
      </c>
      <c r="E48" s="1">
        <v>117.075233</v>
      </c>
      <c r="F48" s="1">
        <v>5.2089999999999996</v>
      </c>
      <c r="G48" s="1">
        <v>0.83842000000000005</v>
      </c>
      <c r="I48" s="1" t="s">
        <v>19</v>
      </c>
      <c r="J48" s="1" t="s">
        <v>55</v>
      </c>
      <c r="K48" s="1" t="s">
        <v>55</v>
      </c>
      <c r="L48" s="1" t="s">
        <v>56</v>
      </c>
      <c r="M48" s="1">
        <v>0.20100000000000001</v>
      </c>
      <c r="N48" s="1">
        <v>1.498834</v>
      </c>
      <c r="O48" s="1">
        <v>116.07184599999999</v>
      </c>
      <c r="P48" s="2">
        <v>539580</v>
      </c>
      <c r="Q48" s="2">
        <v>175447.08</v>
      </c>
      <c r="R48" s="2">
        <v>562343.88</v>
      </c>
      <c r="S48" s="2">
        <v>317547.84000000003</v>
      </c>
      <c r="T48" s="2">
        <v>563727.25</v>
      </c>
      <c r="U48" s="2">
        <v>817159</v>
      </c>
      <c r="V48" s="2">
        <v>126814.07</v>
      </c>
      <c r="W48" s="2">
        <v>101901.49</v>
      </c>
      <c r="X48" s="2">
        <v>263095.84000000003</v>
      </c>
      <c r="Y48" s="1">
        <f t="shared" ca="1" si="0"/>
        <v>5362</v>
      </c>
      <c r="Z48" s="1">
        <f t="shared" ca="1" si="0"/>
        <v>4281</v>
      </c>
    </row>
    <row r="49" spans="2:26" x14ac:dyDescent="0.2">
      <c r="B49" s="1">
        <v>49</v>
      </c>
      <c r="C49" s="1">
        <v>51</v>
      </c>
      <c r="D49" s="1">
        <v>0</v>
      </c>
      <c r="E49" s="1">
        <v>118.07859000000001</v>
      </c>
      <c r="F49" s="1">
        <v>5.2629999999999999</v>
      </c>
      <c r="G49" s="1">
        <v>0.24104700000000001</v>
      </c>
      <c r="I49" s="1" t="s">
        <v>22</v>
      </c>
      <c r="J49" s="1" t="s">
        <v>55</v>
      </c>
      <c r="K49" s="1" t="s">
        <v>55</v>
      </c>
      <c r="L49" s="1" t="s">
        <v>56</v>
      </c>
      <c r="M49" s="1">
        <v>0.14699999999999999</v>
      </c>
      <c r="N49" s="1">
        <v>1.550711</v>
      </c>
      <c r="O49" s="1">
        <v>116.07184599999999</v>
      </c>
      <c r="P49" s="2">
        <v>6363.21</v>
      </c>
      <c r="Q49" s="2">
        <v>2818.74</v>
      </c>
      <c r="R49" s="2">
        <v>7138.67</v>
      </c>
      <c r="S49" s="2">
        <v>2458.48</v>
      </c>
      <c r="T49" s="2">
        <v>3431.55</v>
      </c>
      <c r="U49" s="2">
        <v>10046.379999999999</v>
      </c>
      <c r="V49" s="2">
        <v>0</v>
      </c>
      <c r="W49" s="2">
        <v>0</v>
      </c>
      <c r="X49" s="2">
        <v>2448.0700000000002</v>
      </c>
      <c r="Y49" s="1">
        <f t="shared" ca="1" si="0"/>
        <v>4627</v>
      </c>
      <c r="Z49" s="1">
        <f t="shared" ca="1" si="0"/>
        <v>4613</v>
      </c>
    </row>
    <row r="50" spans="2:26" x14ac:dyDescent="0.2">
      <c r="B50" s="1">
        <v>52</v>
      </c>
      <c r="C50" s="1">
        <v>52</v>
      </c>
      <c r="D50" s="1">
        <v>16</v>
      </c>
      <c r="E50" s="1">
        <v>117.01947800000001</v>
      </c>
      <c r="F50" s="1">
        <v>7.0780000000000003</v>
      </c>
      <c r="G50" s="1">
        <v>0.82629799999999998</v>
      </c>
      <c r="H50" s="1" t="s">
        <v>15</v>
      </c>
      <c r="I50" s="1" t="s">
        <v>16</v>
      </c>
      <c r="J50" s="1" t="s">
        <v>57</v>
      </c>
      <c r="K50" s="1" t="s">
        <v>57</v>
      </c>
      <c r="L50" s="1" t="s">
        <v>58</v>
      </c>
      <c r="M50" s="1">
        <v>0.38200000000000001</v>
      </c>
      <c r="N50" s="1">
        <v>1.2387570000000001</v>
      </c>
      <c r="O50" s="1">
        <v>117.01947800000001</v>
      </c>
      <c r="P50" s="2">
        <v>7293300</v>
      </c>
      <c r="Q50" s="2">
        <v>16642053</v>
      </c>
      <c r="R50" s="2">
        <v>6857326.5</v>
      </c>
      <c r="S50" s="2">
        <v>3370694.25</v>
      </c>
      <c r="T50" s="2">
        <v>1676054.88</v>
      </c>
      <c r="U50" s="2">
        <v>4561596.5</v>
      </c>
      <c r="V50" s="2">
        <v>12724881</v>
      </c>
      <c r="W50" s="2">
        <v>22008314</v>
      </c>
      <c r="X50" s="2">
        <v>103592856</v>
      </c>
      <c r="Y50" s="1">
        <f t="shared" ca="1" si="0"/>
        <v>7941</v>
      </c>
      <c r="Z50" s="1">
        <f t="shared" ca="1" si="0"/>
        <v>6125</v>
      </c>
    </row>
    <row r="51" spans="2:26" x14ac:dyDescent="0.2">
      <c r="B51" s="1">
        <v>52</v>
      </c>
      <c r="C51" s="1">
        <v>53</v>
      </c>
      <c r="D51" s="1">
        <v>7</v>
      </c>
      <c r="E51" s="1">
        <v>118.02291099999999</v>
      </c>
      <c r="F51" s="1">
        <v>7.0830000000000002</v>
      </c>
      <c r="G51" s="1">
        <v>0.69869499999999995</v>
      </c>
      <c r="I51" s="1" t="s">
        <v>19</v>
      </c>
      <c r="J51" s="1" t="s">
        <v>57</v>
      </c>
      <c r="K51" s="1" t="s">
        <v>57</v>
      </c>
      <c r="L51" s="1" t="s">
        <v>58</v>
      </c>
      <c r="M51" s="1">
        <v>0.377</v>
      </c>
      <c r="N51" s="1">
        <v>1.87466</v>
      </c>
      <c r="O51" s="1">
        <v>117.01947800000001</v>
      </c>
      <c r="P51" s="2">
        <v>228117</v>
      </c>
      <c r="Q51" s="2">
        <v>677762.81</v>
      </c>
      <c r="R51" s="2">
        <v>239283.64</v>
      </c>
      <c r="S51" s="2">
        <v>122733.56</v>
      </c>
      <c r="T51" s="2">
        <v>61655.57</v>
      </c>
      <c r="U51" s="2">
        <v>197127.88</v>
      </c>
      <c r="V51" s="2">
        <v>525159.56000000006</v>
      </c>
      <c r="W51" s="2">
        <v>1026076.75</v>
      </c>
      <c r="X51" s="2">
        <v>6126506.5</v>
      </c>
      <c r="Y51" s="1">
        <f t="shared" ca="1" si="0"/>
        <v>3629</v>
      </c>
      <c r="Z51" s="1">
        <f t="shared" ca="1" si="0"/>
        <v>7601</v>
      </c>
    </row>
    <row r="52" spans="2:26" x14ac:dyDescent="0.2">
      <c r="B52" s="1">
        <v>52</v>
      </c>
      <c r="C52" s="1">
        <v>54</v>
      </c>
      <c r="D52" s="1">
        <v>4</v>
      </c>
      <c r="E52" s="1">
        <v>119.026169</v>
      </c>
      <c r="F52" s="1">
        <v>7.0789999999999997</v>
      </c>
      <c r="G52" s="1">
        <v>0.78529099999999996</v>
      </c>
      <c r="I52" s="1" t="s">
        <v>22</v>
      </c>
      <c r="J52" s="1" t="s">
        <v>57</v>
      </c>
      <c r="K52" s="1" t="s">
        <v>57</v>
      </c>
      <c r="L52" s="1" t="s">
        <v>58</v>
      </c>
      <c r="M52" s="1">
        <v>0.38100000000000001</v>
      </c>
      <c r="N52" s="1">
        <v>1.0896749999999999</v>
      </c>
      <c r="O52" s="1">
        <v>117.01947800000001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27052.61</v>
      </c>
      <c r="V52" s="2">
        <v>0</v>
      </c>
      <c r="W52" s="2">
        <v>77022.12</v>
      </c>
      <c r="X52" s="2">
        <v>1180866.1200000001</v>
      </c>
      <c r="Y52" s="1">
        <f t="shared" ca="1" si="0"/>
        <v>4288</v>
      </c>
      <c r="Z52" s="1">
        <f t="shared" ca="1" si="0"/>
        <v>2271</v>
      </c>
    </row>
    <row r="53" spans="2:26" x14ac:dyDescent="0.2">
      <c r="B53" s="1">
        <v>52</v>
      </c>
      <c r="C53" s="1">
        <v>55</v>
      </c>
      <c r="D53" s="1">
        <v>1</v>
      </c>
      <c r="E53" s="1">
        <v>120.02932699999999</v>
      </c>
      <c r="F53" s="1">
        <v>7.1230000000000002</v>
      </c>
      <c r="G53" s="1">
        <v>0.76715800000000001</v>
      </c>
      <c r="I53" s="1" t="s">
        <v>23</v>
      </c>
      <c r="J53" s="1" t="s">
        <v>57</v>
      </c>
      <c r="K53" s="1" t="s">
        <v>57</v>
      </c>
      <c r="L53" s="1" t="s">
        <v>58</v>
      </c>
      <c r="M53" s="1">
        <v>0.33700000000000002</v>
      </c>
      <c r="N53" s="1">
        <v>0.57206400000000002</v>
      </c>
      <c r="O53" s="1">
        <v>117.01947800000001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649399.38</v>
      </c>
      <c r="Y53" s="1">
        <f t="shared" ca="1" si="0"/>
        <v>7316</v>
      </c>
      <c r="Z53" s="1">
        <f t="shared" ca="1" si="0"/>
        <v>3287</v>
      </c>
    </row>
    <row r="54" spans="2:26" x14ac:dyDescent="0.2">
      <c r="B54" s="1">
        <v>52</v>
      </c>
      <c r="C54" s="1">
        <v>56</v>
      </c>
      <c r="D54" s="1">
        <v>0</v>
      </c>
      <c r="E54" s="1">
        <v>121.03282900000001</v>
      </c>
      <c r="F54" s="1">
        <v>7.0819999999999999</v>
      </c>
      <c r="G54" s="1">
        <v>6.1713999999999998E-2</v>
      </c>
      <c r="I54" s="1" t="s">
        <v>59</v>
      </c>
      <c r="J54" s="1" t="s">
        <v>57</v>
      </c>
      <c r="K54" s="1" t="s">
        <v>57</v>
      </c>
      <c r="L54" s="1" t="s">
        <v>58</v>
      </c>
      <c r="M54" s="1">
        <v>0.378</v>
      </c>
      <c r="N54" s="1">
        <v>0.63035799999999997</v>
      </c>
      <c r="O54" s="1">
        <v>117.01947800000001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12040.73</v>
      </c>
      <c r="V54" s="2">
        <v>0</v>
      </c>
      <c r="W54" s="2">
        <v>0</v>
      </c>
      <c r="X54" s="2">
        <v>0</v>
      </c>
      <c r="Y54" s="1">
        <f t="shared" ca="1" si="0"/>
        <v>3500</v>
      </c>
      <c r="Z54" s="1">
        <f t="shared" ca="1" si="0"/>
        <v>6071</v>
      </c>
    </row>
    <row r="55" spans="2:26" x14ac:dyDescent="0.2">
      <c r="B55" s="1">
        <v>57</v>
      </c>
      <c r="C55" s="1">
        <v>57</v>
      </c>
      <c r="D55" s="1">
        <v>18</v>
      </c>
      <c r="E55" s="1">
        <v>118.051147</v>
      </c>
      <c r="F55" s="1">
        <v>6.5519999999999996</v>
      </c>
      <c r="G55" s="1">
        <v>0.82741100000000001</v>
      </c>
      <c r="H55" s="1" t="s">
        <v>15</v>
      </c>
      <c r="I55" s="1" t="s">
        <v>16</v>
      </c>
      <c r="J55" s="1" t="s">
        <v>60</v>
      </c>
      <c r="K55" s="1" t="s">
        <v>60</v>
      </c>
      <c r="L55" s="1" t="s">
        <v>61</v>
      </c>
      <c r="M55" s="1">
        <v>0.60799999999999998</v>
      </c>
      <c r="N55" s="1">
        <v>1.5510710000000001</v>
      </c>
      <c r="O55" s="1">
        <v>118.051147</v>
      </c>
      <c r="P55" s="2">
        <v>9720508</v>
      </c>
      <c r="Q55" s="2">
        <v>2953010.25</v>
      </c>
      <c r="R55" s="2">
        <v>10007451</v>
      </c>
      <c r="S55" s="2">
        <v>4845172.5</v>
      </c>
      <c r="T55" s="2">
        <v>8304794</v>
      </c>
      <c r="U55" s="2">
        <v>14472051</v>
      </c>
      <c r="V55" s="2">
        <v>9838743</v>
      </c>
      <c r="W55" s="2">
        <v>6232836</v>
      </c>
      <c r="X55" s="2">
        <v>3286062.25</v>
      </c>
      <c r="Y55" s="1">
        <f t="shared" ca="1" si="0"/>
        <v>3090</v>
      </c>
      <c r="Z55" s="1">
        <f t="shared" ca="1" si="0"/>
        <v>2966</v>
      </c>
    </row>
    <row r="56" spans="2:26" x14ac:dyDescent="0.2">
      <c r="B56" s="1">
        <v>57</v>
      </c>
      <c r="C56" s="1">
        <v>58</v>
      </c>
      <c r="D56" s="1">
        <v>8</v>
      </c>
      <c r="E56" s="1">
        <v>119.054405</v>
      </c>
      <c r="F56" s="1">
        <v>6.5570000000000004</v>
      </c>
      <c r="G56" s="1">
        <v>0.78414799999999996</v>
      </c>
      <c r="I56" s="1" t="s">
        <v>19</v>
      </c>
      <c r="J56" s="1" t="s">
        <v>60</v>
      </c>
      <c r="K56" s="1" t="s">
        <v>60</v>
      </c>
      <c r="L56" s="1" t="s">
        <v>61</v>
      </c>
      <c r="M56" s="1">
        <v>0.60299999999999998</v>
      </c>
      <c r="N56" s="1">
        <v>0.70491599999999999</v>
      </c>
      <c r="O56" s="1">
        <v>118.051147</v>
      </c>
      <c r="P56" s="2">
        <v>368550.66</v>
      </c>
      <c r="Q56" s="2">
        <v>97191.53</v>
      </c>
      <c r="R56" s="2">
        <v>407805.09</v>
      </c>
      <c r="S56" s="2">
        <v>161493.79999999999</v>
      </c>
      <c r="T56" s="2">
        <v>333596.03000000003</v>
      </c>
      <c r="U56" s="2">
        <v>563148</v>
      </c>
      <c r="V56" s="2">
        <v>379307.66</v>
      </c>
      <c r="W56" s="2">
        <v>249370.25</v>
      </c>
      <c r="X56" s="2">
        <v>115412.82</v>
      </c>
      <c r="Y56" s="1">
        <f t="shared" ca="1" si="0"/>
        <v>3398</v>
      </c>
      <c r="Z56" s="1">
        <f t="shared" ca="1" si="0"/>
        <v>7419</v>
      </c>
    </row>
    <row r="57" spans="2:26" x14ac:dyDescent="0.2">
      <c r="B57" s="1">
        <v>59</v>
      </c>
      <c r="C57" s="1">
        <v>59</v>
      </c>
      <c r="D57" s="1">
        <v>9</v>
      </c>
      <c r="E57" s="1">
        <v>121.040688</v>
      </c>
      <c r="F57" s="1">
        <v>1.9039999999999999</v>
      </c>
      <c r="G57" s="1">
        <v>0.85515699999999994</v>
      </c>
      <c r="H57" s="1" t="s">
        <v>15</v>
      </c>
      <c r="I57" s="1" t="s">
        <v>16</v>
      </c>
      <c r="J57" s="1" t="s">
        <v>62</v>
      </c>
      <c r="K57" s="1" t="s">
        <v>62</v>
      </c>
      <c r="L57" s="1" t="s">
        <v>63</v>
      </c>
      <c r="M57" s="1">
        <v>3.4000000000000002E-2</v>
      </c>
      <c r="N57" s="1">
        <v>0.37819000000000003</v>
      </c>
      <c r="O57" s="1">
        <v>121.040688</v>
      </c>
      <c r="P57" s="2">
        <v>15801.11</v>
      </c>
      <c r="Q57" s="2">
        <v>3393.39</v>
      </c>
      <c r="R57" s="2">
        <v>30186.240000000002</v>
      </c>
      <c r="S57" s="2">
        <v>8519.43</v>
      </c>
      <c r="T57" s="2">
        <v>26778.75</v>
      </c>
      <c r="U57" s="2">
        <v>39286.080000000002</v>
      </c>
      <c r="V57" s="2">
        <v>72366.33</v>
      </c>
      <c r="W57" s="2">
        <v>271418.34000000003</v>
      </c>
      <c r="X57" s="2">
        <v>571730</v>
      </c>
      <c r="Y57" s="1">
        <f t="shared" ca="1" si="0"/>
        <v>3130</v>
      </c>
      <c r="Z57" s="1">
        <f t="shared" ca="1" si="0"/>
        <v>2367</v>
      </c>
    </row>
    <row r="58" spans="2:26" x14ac:dyDescent="0.2">
      <c r="B58" s="1">
        <v>59</v>
      </c>
      <c r="C58" s="1">
        <v>60</v>
      </c>
      <c r="D58" s="1">
        <v>1</v>
      </c>
      <c r="E58" s="1">
        <v>122.044197</v>
      </c>
      <c r="F58" s="1">
        <v>1.8720000000000001</v>
      </c>
      <c r="G58" s="1">
        <v>0.62080900000000006</v>
      </c>
      <c r="I58" s="1" t="s">
        <v>19</v>
      </c>
      <c r="J58" s="1" t="s">
        <v>62</v>
      </c>
      <c r="K58" s="1" t="s">
        <v>62</v>
      </c>
      <c r="L58" s="1" t="s">
        <v>63</v>
      </c>
      <c r="M58" s="1">
        <v>2E-3</v>
      </c>
      <c r="N58" s="1">
        <v>0.87518799999999997</v>
      </c>
      <c r="O58" s="1">
        <v>121.040688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3057.11</v>
      </c>
      <c r="W58" s="2">
        <v>9983.82</v>
      </c>
      <c r="X58" s="2">
        <v>29687.200000000001</v>
      </c>
      <c r="Y58" s="1">
        <f t="shared" ca="1" si="0"/>
        <v>3603</v>
      </c>
      <c r="Z58" s="1">
        <f t="shared" ca="1" si="0"/>
        <v>4098</v>
      </c>
    </row>
    <row r="59" spans="2:26" x14ac:dyDescent="0.2">
      <c r="B59" s="1">
        <v>61</v>
      </c>
      <c r="C59" s="1">
        <v>61</v>
      </c>
      <c r="D59" s="1">
        <v>18</v>
      </c>
      <c r="E59" s="1">
        <v>124.00749999999999</v>
      </c>
      <c r="F59" s="1">
        <v>5.0789999999999997</v>
      </c>
      <c r="G59" s="1">
        <v>0.84162599999999999</v>
      </c>
      <c r="H59" s="1" t="s">
        <v>15</v>
      </c>
      <c r="I59" s="1" t="s">
        <v>16</v>
      </c>
      <c r="J59" s="1" t="s">
        <v>64</v>
      </c>
      <c r="K59" s="1" t="s">
        <v>64</v>
      </c>
      <c r="L59" s="1" t="s">
        <v>65</v>
      </c>
      <c r="M59" s="1">
        <v>0.34899999999999998</v>
      </c>
      <c r="N59" s="1">
        <v>0.86133199999999999</v>
      </c>
      <c r="O59" s="1">
        <v>124.00749999999999</v>
      </c>
      <c r="P59" s="2">
        <v>16238231</v>
      </c>
      <c r="Q59" s="2">
        <v>15848625</v>
      </c>
      <c r="R59" s="2">
        <v>28679408</v>
      </c>
      <c r="S59" s="2">
        <v>16787224</v>
      </c>
      <c r="T59" s="2">
        <v>11113965</v>
      </c>
      <c r="U59" s="2">
        <v>20534950</v>
      </c>
      <c r="V59" s="2">
        <v>169207232</v>
      </c>
      <c r="W59" s="2">
        <v>188564272</v>
      </c>
      <c r="X59" s="2">
        <v>31298194</v>
      </c>
      <c r="Y59" s="1">
        <f t="shared" ca="1" si="0"/>
        <v>5077</v>
      </c>
      <c r="Z59" s="1">
        <f t="shared" ca="1" si="0"/>
        <v>4147</v>
      </c>
    </row>
    <row r="60" spans="2:26" x14ac:dyDescent="0.2">
      <c r="B60" s="1">
        <v>61</v>
      </c>
      <c r="C60" s="1">
        <v>62</v>
      </c>
      <c r="D60" s="1">
        <v>16</v>
      </c>
      <c r="E60" s="1">
        <v>125.01078</v>
      </c>
      <c r="F60" s="1">
        <v>5.0759999999999996</v>
      </c>
      <c r="G60" s="1">
        <v>0.84150899999999995</v>
      </c>
      <c r="I60" s="1" t="s">
        <v>19</v>
      </c>
      <c r="J60" s="1" t="s">
        <v>64</v>
      </c>
      <c r="K60" s="1" t="s">
        <v>64</v>
      </c>
      <c r="L60" s="1" t="s">
        <v>65</v>
      </c>
      <c r="M60" s="1">
        <v>0.34599999999999997</v>
      </c>
      <c r="N60" s="1">
        <v>0.30514999999999998</v>
      </c>
      <c r="O60" s="1">
        <v>124.00749999999999</v>
      </c>
      <c r="P60" s="2">
        <v>299459.28000000003</v>
      </c>
      <c r="Q60" s="2">
        <v>293750.65999999997</v>
      </c>
      <c r="R60" s="2">
        <v>614039.43999999994</v>
      </c>
      <c r="S60" s="2">
        <v>341256.84</v>
      </c>
      <c r="T60" s="2">
        <v>190844.75</v>
      </c>
      <c r="U60" s="2">
        <v>414096.22</v>
      </c>
      <c r="V60" s="2">
        <v>3831673.25</v>
      </c>
      <c r="W60" s="2">
        <v>4303010.5</v>
      </c>
      <c r="X60" s="2">
        <v>616116.68999999994</v>
      </c>
      <c r="Y60" s="1">
        <f t="shared" ca="1" si="0"/>
        <v>1828</v>
      </c>
      <c r="Z60" s="1">
        <f t="shared" ca="1" si="0"/>
        <v>1705</v>
      </c>
    </row>
    <row r="61" spans="2:26" x14ac:dyDescent="0.2">
      <c r="B61" s="1">
        <v>61</v>
      </c>
      <c r="C61" s="1">
        <v>63</v>
      </c>
      <c r="D61" s="1">
        <v>0</v>
      </c>
      <c r="E61" s="1">
        <v>126.013786</v>
      </c>
      <c r="F61" s="1">
        <v>5.101</v>
      </c>
      <c r="G61" s="1">
        <v>6.3880000000000006E-2</v>
      </c>
      <c r="I61" s="1" t="s">
        <v>22</v>
      </c>
      <c r="J61" s="1" t="s">
        <v>64</v>
      </c>
      <c r="K61" s="1" t="s">
        <v>64</v>
      </c>
      <c r="L61" s="1" t="s">
        <v>65</v>
      </c>
      <c r="M61" s="1">
        <v>0.371</v>
      </c>
      <c r="N61" s="1">
        <v>2.4823029999999999</v>
      </c>
      <c r="O61" s="1">
        <v>124.00749999999999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17294.759999999998</v>
      </c>
      <c r="W61" s="2">
        <v>16626.580000000002</v>
      </c>
      <c r="X61" s="2">
        <v>0</v>
      </c>
      <c r="Y61" s="1">
        <f t="shared" ca="1" si="0"/>
        <v>2196</v>
      </c>
      <c r="Z61" s="1">
        <f t="shared" ca="1" si="0"/>
        <v>7893</v>
      </c>
    </row>
    <row r="62" spans="2:26" x14ac:dyDescent="0.2">
      <c r="B62" s="1">
        <v>64</v>
      </c>
      <c r="C62" s="1">
        <v>64</v>
      </c>
      <c r="D62" s="1">
        <v>12</v>
      </c>
      <c r="E62" s="1">
        <v>125.035751</v>
      </c>
      <c r="F62" s="1">
        <v>1.885</v>
      </c>
      <c r="G62" s="1">
        <v>0.82953900000000003</v>
      </c>
      <c r="H62" s="1" t="s">
        <v>15</v>
      </c>
      <c r="I62" s="1" t="s">
        <v>16</v>
      </c>
      <c r="J62" s="1" t="s">
        <v>66</v>
      </c>
      <c r="K62" s="1" t="s">
        <v>66</v>
      </c>
      <c r="L62" s="1" t="s">
        <v>67</v>
      </c>
      <c r="M62" s="1">
        <v>5.0000000000000001E-3</v>
      </c>
      <c r="N62" s="1">
        <v>0.79323100000000002</v>
      </c>
      <c r="O62" s="1">
        <v>125.035751</v>
      </c>
      <c r="P62" s="2">
        <v>129142.91</v>
      </c>
      <c r="Q62" s="2">
        <v>90216.06</v>
      </c>
      <c r="R62" s="2">
        <v>95470.16</v>
      </c>
      <c r="S62" s="2">
        <v>55357.48</v>
      </c>
      <c r="T62" s="2">
        <v>71352.95</v>
      </c>
      <c r="U62" s="2">
        <v>93752.3</v>
      </c>
      <c r="V62" s="2">
        <v>55136.39</v>
      </c>
      <c r="W62" s="2">
        <v>61498.45</v>
      </c>
      <c r="X62" s="2">
        <v>31930.93</v>
      </c>
      <c r="Y62" s="1">
        <f t="shared" ca="1" si="0"/>
        <v>5306</v>
      </c>
      <c r="Z62" s="1">
        <f t="shared" ca="1" si="0"/>
        <v>4004</v>
      </c>
    </row>
    <row r="63" spans="2:26" x14ac:dyDescent="0.2">
      <c r="B63" s="1">
        <v>64</v>
      </c>
      <c r="C63" s="1">
        <v>65</v>
      </c>
      <c r="D63" s="1">
        <v>0</v>
      </c>
      <c r="E63" s="1">
        <v>126.039085</v>
      </c>
      <c r="F63" s="1">
        <v>1.921</v>
      </c>
      <c r="G63" s="1">
        <v>5.8997000000000001E-2</v>
      </c>
      <c r="I63" s="1" t="s">
        <v>19</v>
      </c>
      <c r="J63" s="1" t="s">
        <v>66</v>
      </c>
      <c r="K63" s="1" t="s">
        <v>66</v>
      </c>
      <c r="L63" s="1" t="s">
        <v>67</v>
      </c>
      <c r="M63" s="1">
        <v>3.1E-2</v>
      </c>
      <c r="N63" s="1">
        <v>0.665852</v>
      </c>
      <c r="O63" s="1">
        <v>125.035751</v>
      </c>
      <c r="P63" s="2">
        <v>0</v>
      </c>
      <c r="Q63" s="2">
        <v>0</v>
      </c>
      <c r="R63" s="2">
        <v>3394.03</v>
      </c>
      <c r="S63" s="2">
        <v>0</v>
      </c>
      <c r="T63" s="2">
        <v>3306.94</v>
      </c>
      <c r="U63" s="2">
        <v>2505.77</v>
      </c>
      <c r="V63" s="2">
        <v>2677.48</v>
      </c>
      <c r="W63" s="2">
        <v>2359.34</v>
      </c>
      <c r="X63" s="2">
        <v>0</v>
      </c>
      <c r="Y63" s="1">
        <f t="shared" ca="1" si="0"/>
        <v>5960</v>
      </c>
      <c r="Z63" s="1">
        <f t="shared" ca="1" si="0"/>
        <v>3085</v>
      </c>
    </row>
    <row r="64" spans="2:26" x14ac:dyDescent="0.2">
      <c r="B64" s="1">
        <v>66</v>
      </c>
      <c r="C64" s="1">
        <v>66</v>
      </c>
      <c r="D64" s="1">
        <v>18</v>
      </c>
      <c r="E64" s="1">
        <v>128.035492</v>
      </c>
      <c r="F64" s="1">
        <v>4.2169999999999996</v>
      </c>
      <c r="G64" s="1">
        <v>0.83262599999999998</v>
      </c>
      <c r="H64" s="1" t="s">
        <v>15</v>
      </c>
      <c r="I64" s="1" t="s">
        <v>16</v>
      </c>
      <c r="J64" s="1" t="s">
        <v>68</v>
      </c>
      <c r="K64" s="1" t="s">
        <v>68</v>
      </c>
      <c r="L64" s="1" t="s">
        <v>69</v>
      </c>
      <c r="M64" s="1">
        <v>0.17299999999999999</v>
      </c>
      <c r="N64" s="1">
        <v>1.31094</v>
      </c>
      <c r="O64" s="1">
        <v>128.035492</v>
      </c>
      <c r="P64" s="2">
        <v>52851568</v>
      </c>
      <c r="Q64" s="2">
        <v>49726740</v>
      </c>
      <c r="R64" s="2">
        <v>20163222</v>
      </c>
      <c r="S64" s="2">
        <v>14435829</v>
      </c>
      <c r="T64" s="2">
        <v>2154146.25</v>
      </c>
      <c r="U64" s="2">
        <v>1451959</v>
      </c>
      <c r="V64" s="2">
        <v>719923.19</v>
      </c>
      <c r="W64" s="2">
        <v>1680864.5</v>
      </c>
      <c r="X64" s="2">
        <v>3276797.25</v>
      </c>
      <c r="Y64" s="1">
        <f t="shared" ca="1" si="0"/>
        <v>3982</v>
      </c>
      <c r="Z64" s="1">
        <f t="shared" ca="1" si="0"/>
        <v>3916</v>
      </c>
    </row>
    <row r="65" spans="2:26" x14ac:dyDescent="0.2">
      <c r="B65" s="1">
        <v>66</v>
      </c>
      <c r="C65" s="1">
        <v>67</v>
      </c>
      <c r="D65" s="1">
        <v>15</v>
      </c>
      <c r="E65" s="1">
        <v>129.03883400000001</v>
      </c>
      <c r="F65" s="1">
        <v>4.2140000000000004</v>
      </c>
      <c r="G65" s="1">
        <v>0.83171300000000004</v>
      </c>
      <c r="I65" s="1" t="s">
        <v>19</v>
      </c>
      <c r="J65" s="1" t="s">
        <v>68</v>
      </c>
      <c r="K65" s="1" t="s">
        <v>68</v>
      </c>
      <c r="L65" s="1" t="s">
        <v>69</v>
      </c>
      <c r="M65" s="1">
        <v>0.17599999999999999</v>
      </c>
      <c r="N65" s="1">
        <v>1.3007470000000001</v>
      </c>
      <c r="O65" s="1">
        <v>128.035492</v>
      </c>
      <c r="P65" s="2">
        <v>2955932.75</v>
      </c>
      <c r="Q65" s="2">
        <v>2709489</v>
      </c>
      <c r="R65" s="2">
        <v>1097825.3799999999</v>
      </c>
      <c r="S65" s="2">
        <v>787762.06</v>
      </c>
      <c r="T65" s="2">
        <v>92178.29</v>
      </c>
      <c r="U65" s="2">
        <v>66907.3</v>
      </c>
      <c r="V65" s="2">
        <v>38534.67</v>
      </c>
      <c r="W65" s="2">
        <v>75984.210000000006</v>
      </c>
      <c r="X65" s="2">
        <v>146863</v>
      </c>
      <c r="Y65" s="1">
        <f t="shared" ca="1" si="0"/>
        <v>2805</v>
      </c>
      <c r="Z65" s="1">
        <f t="shared" ca="1" si="0"/>
        <v>5415</v>
      </c>
    </row>
    <row r="66" spans="2:26" x14ac:dyDescent="0.2">
      <c r="B66" s="1">
        <v>66</v>
      </c>
      <c r="C66" s="1">
        <v>68</v>
      </c>
      <c r="D66" s="1">
        <v>2</v>
      </c>
      <c r="E66" s="1">
        <v>130.042236</v>
      </c>
      <c r="F66" s="1">
        <v>4.202</v>
      </c>
      <c r="G66" s="1">
        <v>0.81470699999999996</v>
      </c>
      <c r="I66" s="1" t="s">
        <v>22</v>
      </c>
      <c r="J66" s="1" t="s">
        <v>68</v>
      </c>
      <c r="K66" s="1" t="s">
        <v>68</v>
      </c>
      <c r="L66" s="1" t="s">
        <v>69</v>
      </c>
      <c r="M66" s="1">
        <v>0.188</v>
      </c>
      <c r="N66" s="1">
        <v>1.6427229999999999</v>
      </c>
      <c r="O66" s="1">
        <v>128.035492</v>
      </c>
      <c r="P66" s="2">
        <v>55068.21</v>
      </c>
      <c r="Q66" s="2">
        <v>50954.11</v>
      </c>
      <c r="R66" s="2">
        <v>16794.66</v>
      </c>
      <c r="S66" s="2">
        <v>9259.75</v>
      </c>
      <c r="T66" s="2">
        <v>6558.9</v>
      </c>
      <c r="U66" s="2">
        <v>2233.7800000000002</v>
      </c>
      <c r="V66" s="2">
        <v>0</v>
      </c>
      <c r="W66" s="2">
        <v>0</v>
      </c>
      <c r="X66" s="2">
        <v>14164.09</v>
      </c>
      <c r="Y66" s="1">
        <f t="shared" ca="1" si="0"/>
        <v>5338</v>
      </c>
      <c r="Z66" s="1">
        <f t="shared" ca="1" si="0"/>
        <v>5375</v>
      </c>
    </row>
    <row r="67" spans="2:26" x14ac:dyDescent="0.2">
      <c r="B67" s="1">
        <v>69</v>
      </c>
      <c r="C67" s="1">
        <v>69</v>
      </c>
      <c r="D67" s="1">
        <v>18</v>
      </c>
      <c r="E67" s="1">
        <v>130.06231700000001</v>
      </c>
      <c r="F67" s="1">
        <v>6.2359999999999998</v>
      </c>
      <c r="G67" s="1">
        <v>0.83770900000000004</v>
      </c>
      <c r="H67" s="1" t="s">
        <v>15</v>
      </c>
      <c r="I67" s="1" t="s">
        <v>16</v>
      </c>
      <c r="J67" s="1" t="s">
        <v>70</v>
      </c>
      <c r="K67" s="1" t="s">
        <v>70</v>
      </c>
      <c r="L67" s="1" t="s">
        <v>71</v>
      </c>
      <c r="M67" s="1">
        <v>5.3999999999999999E-2</v>
      </c>
      <c r="N67" s="1">
        <v>0.93855299999999997</v>
      </c>
      <c r="O67" s="1">
        <v>130.06231700000001</v>
      </c>
      <c r="P67" s="2">
        <v>2122993.75</v>
      </c>
      <c r="Q67" s="2">
        <v>829030.56</v>
      </c>
      <c r="R67" s="2">
        <v>2554375.5</v>
      </c>
      <c r="S67" s="2">
        <v>1427344</v>
      </c>
      <c r="T67" s="2">
        <v>2023778.5</v>
      </c>
      <c r="U67" s="2">
        <v>3978358</v>
      </c>
      <c r="V67" s="2">
        <v>37780572</v>
      </c>
      <c r="W67" s="2">
        <v>42586324</v>
      </c>
      <c r="X67" s="2">
        <v>984991.56</v>
      </c>
      <c r="Y67" s="1">
        <f t="shared" ref="Y67:Z130" ca="1" si="1">RANDBETWEEN(1000, 8000)</f>
        <v>4128</v>
      </c>
      <c r="Z67" s="1">
        <f t="shared" ca="1" si="1"/>
        <v>1585</v>
      </c>
    </row>
    <row r="68" spans="2:26" x14ac:dyDescent="0.2">
      <c r="B68" s="1">
        <v>69</v>
      </c>
      <c r="C68" s="1">
        <v>70</v>
      </c>
      <c r="D68" s="1">
        <v>17</v>
      </c>
      <c r="E68" s="1">
        <v>131.06572</v>
      </c>
      <c r="F68" s="1">
        <v>6.2389999999999999</v>
      </c>
      <c r="G68" s="1">
        <v>0.83059099999999997</v>
      </c>
      <c r="I68" s="1" t="s">
        <v>19</v>
      </c>
      <c r="J68" s="1" t="s">
        <v>70</v>
      </c>
      <c r="K68" s="1" t="s">
        <v>70</v>
      </c>
      <c r="L68" s="1" t="s">
        <v>71</v>
      </c>
      <c r="M68" s="1">
        <v>5.0999999999999997E-2</v>
      </c>
      <c r="N68" s="1">
        <v>1.280632</v>
      </c>
      <c r="O68" s="1">
        <v>130.06231700000001</v>
      </c>
      <c r="P68" s="2">
        <v>61130.89</v>
      </c>
      <c r="Q68" s="2">
        <v>28915.02</v>
      </c>
      <c r="R68" s="2">
        <v>81135.69</v>
      </c>
      <c r="S68" s="2">
        <v>55037.84</v>
      </c>
      <c r="T68" s="2">
        <v>77489.77</v>
      </c>
      <c r="U68" s="2">
        <v>139732.57999999999</v>
      </c>
      <c r="V68" s="2">
        <v>1694488.62</v>
      </c>
      <c r="W68" s="2">
        <v>1846840.12</v>
      </c>
      <c r="X68" s="2">
        <v>32429.3</v>
      </c>
      <c r="Y68" s="1">
        <f t="shared" ca="1" si="1"/>
        <v>1470</v>
      </c>
      <c r="Z68" s="1">
        <f t="shared" ca="1" si="1"/>
        <v>6253</v>
      </c>
    </row>
    <row r="69" spans="2:26" x14ac:dyDescent="0.2">
      <c r="B69" s="1">
        <v>69</v>
      </c>
      <c r="C69" s="1">
        <v>71</v>
      </c>
      <c r="D69" s="1">
        <v>1</v>
      </c>
      <c r="E69" s="1">
        <v>132.068817</v>
      </c>
      <c r="F69" s="1">
        <v>6.2779999999999996</v>
      </c>
      <c r="G69" s="1">
        <v>0.69383600000000001</v>
      </c>
      <c r="I69" s="1" t="s">
        <v>22</v>
      </c>
      <c r="J69" s="1" t="s">
        <v>70</v>
      </c>
      <c r="K69" s="1" t="s">
        <v>70</v>
      </c>
      <c r="L69" s="1" t="s">
        <v>71</v>
      </c>
      <c r="M69" s="1">
        <v>1.2E-2</v>
      </c>
      <c r="N69" s="1">
        <v>0.69321900000000003</v>
      </c>
      <c r="O69" s="1">
        <v>130.06231700000001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21616.83</v>
      </c>
      <c r="W69" s="2">
        <v>19667.689999999999</v>
      </c>
      <c r="X69" s="2">
        <v>0</v>
      </c>
      <c r="Y69" s="1">
        <f t="shared" ca="1" si="1"/>
        <v>1260</v>
      </c>
      <c r="Z69" s="1">
        <f t="shared" ca="1" si="1"/>
        <v>1432</v>
      </c>
    </row>
    <row r="70" spans="2:26" x14ac:dyDescent="0.2">
      <c r="B70" s="1">
        <v>72</v>
      </c>
      <c r="C70" s="1">
        <v>72</v>
      </c>
      <c r="D70" s="1">
        <v>18</v>
      </c>
      <c r="E70" s="1">
        <v>130.08749399999999</v>
      </c>
      <c r="F70" s="1">
        <v>3.7690000000000001</v>
      </c>
      <c r="G70" s="1">
        <v>0.82841500000000001</v>
      </c>
      <c r="H70" s="1" t="s">
        <v>15</v>
      </c>
      <c r="I70" s="1" t="s">
        <v>16</v>
      </c>
      <c r="J70" s="1" t="s">
        <v>72</v>
      </c>
      <c r="K70" s="1" t="s">
        <v>72</v>
      </c>
      <c r="L70" s="1" t="s">
        <v>73</v>
      </c>
      <c r="M70" s="1">
        <v>0.28100000000000003</v>
      </c>
      <c r="N70" s="1">
        <v>1.0556680000000001</v>
      </c>
      <c r="O70" s="1">
        <v>130.08749399999999</v>
      </c>
      <c r="P70" s="2">
        <v>16621021</v>
      </c>
      <c r="Q70" s="2">
        <v>5840665.5</v>
      </c>
      <c r="R70" s="2">
        <v>18740810</v>
      </c>
      <c r="S70" s="2">
        <v>11186035</v>
      </c>
      <c r="T70" s="2">
        <v>20130286</v>
      </c>
      <c r="U70" s="2">
        <v>27546328</v>
      </c>
      <c r="V70" s="2">
        <v>4900680.5</v>
      </c>
      <c r="W70" s="2">
        <v>4532553</v>
      </c>
      <c r="X70" s="2">
        <v>11978817</v>
      </c>
      <c r="Y70" s="1">
        <f t="shared" ca="1" si="1"/>
        <v>4038</v>
      </c>
      <c r="Z70" s="1">
        <f t="shared" ca="1" si="1"/>
        <v>1749</v>
      </c>
    </row>
    <row r="71" spans="2:26" x14ac:dyDescent="0.2">
      <c r="B71" s="1">
        <v>72</v>
      </c>
      <c r="C71" s="1">
        <v>73</v>
      </c>
      <c r="D71" s="1">
        <v>10</v>
      </c>
      <c r="E71" s="1">
        <v>131.09086600000001</v>
      </c>
      <c r="F71" s="1">
        <v>3.7679999999999998</v>
      </c>
      <c r="G71" s="1">
        <v>0.70301999999999998</v>
      </c>
      <c r="I71" s="1" t="s">
        <v>19</v>
      </c>
      <c r="J71" s="1" t="s">
        <v>72</v>
      </c>
      <c r="K71" s="1" t="s">
        <v>72</v>
      </c>
      <c r="L71" s="1" t="s">
        <v>73</v>
      </c>
      <c r="M71" s="1">
        <v>0.28199999999999997</v>
      </c>
      <c r="N71" s="1">
        <v>1.280386</v>
      </c>
      <c r="O71" s="1">
        <v>130.08749399999999</v>
      </c>
      <c r="P71" s="2">
        <v>1010186.81</v>
      </c>
      <c r="Q71" s="2">
        <v>306643.28000000003</v>
      </c>
      <c r="R71" s="2">
        <v>1136830.3799999999</v>
      </c>
      <c r="S71" s="2">
        <v>685559.19</v>
      </c>
      <c r="T71" s="2">
        <v>1276736.5</v>
      </c>
      <c r="U71" s="2">
        <v>1750577.62</v>
      </c>
      <c r="V71" s="2">
        <v>281594.5</v>
      </c>
      <c r="W71" s="2">
        <v>225073.62</v>
      </c>
      <c r="X71" s="2">
        <v>729982.44</v>
      </c>
      <c r="Y71" s="1">
        <f t="shared" ca="1" si="1"/>
        <v>4233</v>
      </c>
      <c r="Z71" s="1">
        <f t="shared" ca="1" si="1"/>
        <v>5920</v>
      </c>
    </row>
    <row r="72" spans="2:26" x14ac:dyDescent="0.2">
      <c r="B72" s="1">
        <v>72</v>
      </c>
      <c r="C72" s="1">
        <v>74</v>
      </c>
      <c r="D72" s="1">
        <v>5</v>
      </c>
      <c r="E72" s="1">
        <v>132.09416200000001</v>
      </c>
      <c r="F72" s="1">
        <v>3.774</v>
      </c>
      <c r="G72" s="1">
        <v>0.74486799999999997</v>
      </c>
      <c r="I72" s="1" t="s">
        <v>22</v>
      </c>
      <c r="J72" s="1" t="s">
        <v>72</v>
      </c>
      <c r="K72" s="1" t="s">
        <v>72</v>
      </c>
      <c r="L72" s="1" t="s">
        <v>73</v>
      </c>
      <c r="M72" s="1">
        <v>0.27600000000000002</v>
      </c>
      <c r="N72" s="1">
        <v>0.80860200000000004</v>
      </c>
      <c r="O72" s="1">
        <v>130.08749399999999</v>
      </c>
      <c r="P72" s="2">
        <v>12470.83</v>
      </c>
      <c r="Q72" s="2">
        <v>7081.13</v>
      </c>
      <c r="R72" s="2">
        <v>24424.66</v>
      </c>
      <c r="S72" s="2">
        <v>14741.14</v>
      </c>
      <c r="T72" s="2">
        <v>25509.91</v>
      </c>
      <c r="U72" s="2">
        <v>27854.15</v>
      </c>
      <c r="V72" s="2">
        <v>4601.25</v>
      </c>
      <c r="W72" s="2">
        <v>0</v>
      </c>
      <c r="X72" s="2">
        <v>5566.5</v>
      </c>
      <c r="Y72" s="1">
        <f t="shared" ca="1" si="1"/>
        <v>3463</v>
      </c>
      <c r="Z72" s="1">
        <f t="shared" ca="1" si="1"/>
        <v>3461</v>
      </c>
    </row>
    <row r="73" spans="2:26" x14ac:dyDescent="0.2">
      <c r="B73" s="1">
        <v>75</v>
      </c>
      <c r="C73" s="1">
        <v>75</v>
      </c>
      <c r="D73" s="1">
        <v>18</v>
      </c>
      <c r="E73" s="1">
        <v>131.04637099999999</v>
      </c>
      <c r="F73" s="1">
        <v>7.4130000000000003</v>
      </c>
      <c r="G73" s="1">
        <v>0.85133800000000004</v>
      </c>
      <c r="H73" s="1" t="s">
        <v>15</v>
      </c>
      <c r="I73" s="1" t="s">
        <v>16</v>
      </c>
      <c r="J73" s="1" t="s">
        <v>74</v>
      </c>
      <c r="K73" s="1" t="s">
        <v>74</v>
      </c>
      <c r="L73" s="1" t="s">
        <v>75</v>
      </c>
      <c r="M73" s="1">
        <v>0.54700000000000004</v>
      </c>
      <c r="N73" s="1">
        <v>1.164382</v>
      </c>
      <c r="O73" s="1">
        <v>131.04637099999999</v>
      </c>
      <c r="P73" s="2">
        <v>1140913.6200000001</v>
      </c>
      <c r="Q73" s="2">
        <v>326482.53000000003</v>
      </c>
      <c r="R73" s="2">
        <v>1329930.5</v>
      </c>
      <c r="S73" s="2">
        <v>858049.5</v>
      </c>
      <c r="T73" s="2">
        <v>1484497</v>
      </c>
      <c r="U73" s="2">
        <v>2336280.25</v>
      </c>
      <c r="V73" s="2">
        <v>977583.5</v>
      </c>
      <c r="W73" s="2">
        <v>1992625</v>
      </c>
      <c r="X73" s="2">
        <v>551677.38</v>
      </c>
      <c r="Y73" s="1">
        <f t="shared" ca="1" si="1"/>
        <v>2705</v>
      </c>
      <c r="Z73" s="1">
        <f t="shared" ca="1" si="1"/>
        <v>7839</v>
      </c>
    </row>
    <row r="74" spans="2:26" x14ac:dyDescent="0.2">
      <c r="B74" s="1">
        <v>75</v>
      </c>
      <c r="C74" s="1">
        <v>76</v>
      </c>
      <c r="D74" s="1">
        <v>15</v>
      </c>
      <c r="E74" s="1">
        <v>132.04984999999999</v>
      </c>
      <c r="F74" s="1">
        <v>7.4180000000000001</v>
      </c>
      <c r="G74" s="1">
        <v>0.79839199999999999</v>
      </c>
      <c r="I74" s="1" t="s">
        <v>19</v>
      </c>
      <c r="J74" s="1" t="s">
        <v>74</v>
      </c>
      <c r="K74" s="1" t="s">
        <v>74</v>
      </c>
      <c r="L74" s="1" t="s">
        <v>75</v>
      </c>
      <c r="M74" s="1">
        <v>0.54200000000000004</v>
      </c>
      <c r="N74" s="1">
        <v>2.0799629999999998</v>
      </c>
      <c r="O74" s="1">
        <v>131.04637099999999</v>
      </c>
      <c r="P74" s="2">
        <v>43501.8</v>
      </c>
      <c r="Q74" s="2">
        <v>5344.57</v>
      </c>
      <c r="R74" s="2">
        <v>40593.599999999999</v>
      </c>
      <c r="S74" s="2">
        <v>25374.34</v>
      </c>
      <c r="T74" s="2">
        <v>50413.03</v>
      </c>
      <c r="U74" s="2">
        <v>71834.12</v>
      </c>
      <c r="V74" s="2">
        <v>32237.81</v>
      </c>
      <c r="W74" s="2">
        <v>63386.75</v>
      </c>
      <c r="X74" s="2">
        <v>12104.89</v>
      </c>
      <c r="Y74" s="1">
        <f t="shared" ca="1" si="1"/>
        <v>1099</v>
      </c>
      <c r="Z74" s="1">
        <f t="shared" ca="1" si="1"/>
        <v>4566</v>
      </c>
    </row>
    <row r="75" spans="2:26" x14ac:dyDescent="0.2">
      <c r="B75" s="1">
        <v>77</v>
      </c>
      <c r="C75" s="1">
        <v>77</v>
      </c>
      <c r="D75" s="1">
        <v>13</v>
      </c>
      <c r="E75" s="1">
        <v>132.030441</v>
      </c>
      <c r="F75" s="1">
        <v>8.2569999999999997</v>
      </c>
      <c r="G75" s="1">
        <v>0.83891099999999996</v>
      </c>
      <c r="H75" s="1" t="s">
        <v>15</v>
      </c>
      <c r="I75" s="1" t="s">
        <v>16</v>
      </c>
      <c r="J75" s="1" t="s">
        <v>76</v>
      </c>
      <c r="K75" s="1" t="s">
        <v>76</v>
      </c>
      <c r="L75" s="1" t="s">
        <v>77</v>
      </c>
      <c r="M75" s="1">
        <v>0.21299999999999999</v>
      </c>
      <c r="N75" s="1">
        <v>1.6179859999999999</v>
      </c>
      <c r="O75" s="1">
        <v>132.030441</v>
      </c>
      <c r="P75" s="2">
        <v>135267.89000000001</v>
      </c>
      <c r="Q75" s="2">
        <v>60073.67</v>
      </c>
      <c r="R75" s="2">
        <v>220391.67</v>
      </c>
      <c r="S75" s="2">
        <v>106573.72</v>
      </c>
      <c r="T75" s="2">
        <v>64202.39</v>
      </c>
      <c r="U75" s="2">
        <v>104623.4</v>
      </c>
      <c r="V75" s="2">
        <v>828924.69</v>
      </c>
      <c r="W75" s="2">
        <v>1624643</v>
      </c>
      <c r="X75" s="2">
        <v>2355997.25</v>
      </c>
      <c r="Y75" s="1">
        <f t="shared" ca="1" si="1"/>
        <v>4338</v>
      </c>
      <c r="Z75" s="1">
        <f t="shared" ca="1" si="1"/>
        <v>6067</v>
      </c>
    </row>
    <row r="76" spans="2:26" x14ac:dyDescent="0.2">
      <c r="B76" s="1">
        <v>77</v>
      </c>
      <c r="C76" s="1">
        <v>78</v>
      </c>
      <c r="D76" s="1">
        <v>3</v>
      </c>
      <c r="E76" s="1">
        <v>133.033829</v>
      </c>
      <c r="F76" s="1">
        <v>8.2490000000000006</v>
      </c>
      <c r="G76" s="1">
        <v>0.71401999999999999</v>
      </c>
      <c r="I76" s="1" t="s">
        <v>19</v>
      </c>
      <c r="J76" s="1" t="s">
        <v>76</v>
      </c>
      <c r="K76" s="1" t="s">
        <v>76</v>
      </c>
      <c r="L76" s="1" t="s">
        <v>77</v>
      </c>
      <c r="M76" s="1">
        <v>0.221</v>
      </c>
      <c r="N76" s="1">
        <v>1.83518</v>
      </c>
      <c r="O76" s="1">
        <v>132.030441</v>
      </c>
      <c r="P76" s="2">
        <v>4337.78</v>
      </c>
      <c r="Q76" s="2">
        <v>2415.61</v>
      </c>
      <c r="R76" s="2">
        <v>9829.91</v>
      </c>
      <c r="S76" s="2">
        <v>4201.54</v>
      </c>
      <c r="T76" s="2">
        <v>2749.79</v>
      </c>
      <c r="U76" s="2">
        <v>3274.57</v>
      </c>
      <c r="V76" s="2">
        <v>22957.09</v>
      </c>
      <c r="W76" s="2">
        <v>63537.96</v>
      </c>
      <c r="X76" s="2">
        <v>103222.91</v>
      </c>
      <c r="Y76" s="1">
        <f t="shared" ca="1" si="1"/>
        <v>7168</v>
      </c>
      <c r="Z76" s="1">
        <f t="shared" ca="1" si="1"/>
        <v>3210</v>
      </c>
    </row>
    <row r="77" spans="2:26" x14ac:dyDescent="0.2">
      <c r="B77" s="1">
        <v>79</v>
      </c>
      <c r="C77" s="1">
        <v>79</v>
      </c>
      <c r="D77" s="1">
        <v>18</v>
      </c>
      <c r="E77" s="1">
        <v>133.01440400000001</v>
      </c>
      <c r="F77" s="1">
        <v>7.6360000000000001</v>
      </c>
      <c r="G77" s="1">
        <v>0.834955</v>
      </c>
      <c r="H77" s="1" t="s">
        <v>15</v>
      </c>
      <c r="I77" s="1" t="s">
        <v>16</v>
      </c>
      <c r="J77" s="1" t="s">
        <v>78</v>
      </c>
      <c r="K77" s="1" t="s">
        <v>78</v>
      </c>
      <c r="L77" s="1" t="s">
        <v>79</v>
      </c>
      <c r="M77" s="1">
        <v>0.52400000000000002</v>
      </c>
      <c r="N77" s="1">
        <v>1.147154</v>
      </c>
      <c r="O77" s="1">
        <v>133.01440400000001</v>
      </c>
      <c r="P77" s="2">
        <v>2082347</v>
      </c>
      <c r="Q77" s="2">
        <v>2520223.25</v>
      </c>
      <c r="R77" s="2">
        <v>3082378</v>
      </c>
      <c r="S77" s="2">
        <v>1314509.5</v>
      </c>
      <c r="T77" s="2">
        <v>1336128</v>
      </c>
      <c r="U77" s="2">
        <v>2741397.25</v>
      </c>
      <c r="V77" s="2">
        <v>21017434</v>
      </c>
      <c r="W77" s="2">
        <v>33435746</v>
      </c>
      <c r="X77" s="2">
        <v>79820344</v>
      </c>
      <c r="Y77" s="1">
        <f t="shared" ca="1" si="1"/>
        <v>1777</v>
      </c>
      <c r="Z77" s="1">
        <f t="shared" ca="1" si="1"/>
        <v>7884</v>
      </c>
    </row>
    <row r="78" spans="2:26" x14ac:dyDescent="0.2">
      <c r="B78" s="1">
        <v>79</v>
      </c>
      <c r="C78" s="1">
        <v>80</v>
      </c>
      <c r="D78" s="1">
        <v>9</v>
      </c>
      <c r="E78" s="1">
        <v>134.017822</v>
      </c>
      <c r="F78" s="1">
        <v>7.6189999999999998</v>
      </c>
      <c r="G78" s="1">
        <v>0.71924900000000003</v>
      </c>
      <c r="I78" s="1" t="s">
        <v>19</v>
      </c>
      <c r="J78" s="1" t="s">
        <v>78</v>
      </c>
      <c r="K78" s="1" t="s">
        <v>78</v>
      </c>
      <c r="L78" s="1" t="s">
        <v>79</v>
      </c>
      <c r="M78" s="1">
        <v>0.54100000000000004</v>
      </c>
      <c r="N78" s="1">
        <v>1.5939920000000001</v>
      </c>
      <c r="O78" s="1">
        <v>133.01440400000001</v>
      </c>
      <c r="P78" s="2">
        <v>71535.600000000006</v>
      </c>
      <c r="Q78" s="2">
        <v>81435.37</v>
      </c>
      <c r="R78" s="2">
        <v>108527.84</v>
      </c>
      <c r="S78" s="2">
        <v>47551.37</v>
      </c>
      <c r="T78" s="2">
        <v>56368.14</v>
      </c>
      <c r="U78" s="2">
        <v>126001.25</v>
      </c>
      <c r="V78" s="2">
        <v>908141.75</v>
      </c>
      <c r="W78" s="2">
        <v>1599999.38</v>
      </c>
      <c r="X78" s="2">
        <v>5019031.5</v>
      </c>
      <c r="Y78" s="1">
        <f t="shared" ca="1" si="1"/>
        <v>7025</v>
      </c>
      <c r="Z78" s="1">
        <f t="shared" ca="1" si="1"/>
        <v>7200</v>
      </c>
    </row>
    <row r="79" spans="2:26" x14ac:dyDescent="0.2">
      <c r="B79" s="1">
        <v>79</v>
      </c>
      <c r="C79" s="1">
        <v>81</v>
      </c>
      <c r="D79" s="1">
        <v>6</v>
      </c>
      <c r="E79" s="1">
        <v>135.02110300000001</v>
      </c>
      <c r="F79" s="1">
        <v>7.6609999999999996</v>
      </c>
      <c r="G79" s="1">
        <v>0.74313499999999999</v>
      </c>
      <c r="I79" s="1" t="s">
        <v>22</v>
      </c>
      <c r="J79" s="1" t="s">
        <v>78</v>
      </c>
      <c r="K79" s="1" t="s">
        <v>78</v>
      </c>
      <c r="L79" s="1" t="s">
        <v>79</v>
      </c>
      <c r="M79" s="1">
        <v>0.499</v>
      </c>
      <c r="N79" s="1">
        <v>1.1301049999999999</v>
      </c>
      <c r="O79" s="1">
        <v>133.01440400000001</v>
      </c>
      <c r="P79" s="2">
        <v>0</v>
      </c>
      <c r="Q79" s="2">
        <v>1693.96</v>
      </c>
      <c r="R79" s="2">
        <v>3567.36</v>
      </c>
      <c r="S79" s="2">
        <v>9097.08</v>
      </c>
      <c r="T79" s="2">
        <v>11114.49</v>
      </c>
      <c r="U79" s="2">
        <v>26940.26</v>
      </c>
      <c r="V79" s="2">
        <v>10125.41</v>
      </c>
      <c r="W79" s="2">
        <v>94438.35</v>
      </c>
      <c r="X79" s="2">
        <v>872535.5</v>
      </c>
      <c r="Y79" s="1">
        <f t="shared" ca="1" si="1"/>
        <v>4689</v>
      </c>
      <c r="Z79" s="1">
        <f t="shared" ca="1" si="1"/>
        <v>1478</v>
      </c>
    </row>
    <row r="80" spans="2:26" x14ac:dyDescent="0.2">
      <c r="B80" s="1">
        <v>79</v>
      </c>
      <c r="C80" s="1">
        <v>82</v>
      </c>
      <c r="D80" s="1">
        <v>3</v>
      </c>
      <c r="E80" s="1">
        <v>136.024429</v>
      </c>
      <c r="F80" s="1">
        <v>7.6429999999999998</v>
      </c>
      <c r="G80" s="1">
        <v>0.83522099999999999</v>
      </c>
      <c r="I80" s="1" t="s">
        <v>23</v>
      </c>
      <c r="J80" s="1" t="s">
        <v>78</v>
      </c>
      <c r="K80" s="1" t="s">
        <v>78</v>
      </c>
      <c r="L80" s="1" t="s">
        <v>79</v>
      </c>
      <c r="M80" s="1">
        <v>0.51700000000000002</v>
      </c>
      <c r="N80" s="1">
        <v>0.89741499999999996</v>
      </c>
      <c r="O80" s="1">
        <v>133.01440400000001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7527.03</v>
      </c>
      <c r="V80" s="2">
        <v>0</v>
      </c>
      <c r="W80" s="2">
        <v>18918.59</v>
      </c>
      <c r="X80" s="2">
        <v>558001.56000000006</v>
      </c>
      <c r="Y80" s="1">
        <f t="shared" ca="1" si="1"/>
        <v>1680</v>
      </c>
      <c r="Z80" s="1">
        <f t="shared" ca="1" si="1"/>
        <v>3490</v>
      </c>
    </row>
    <row r="81" spans="2:26" x14ac:dyDescent="0.2">
      <c r="B81" s="1">
        <v>83</v>
      </c>
      <c r="C81" s="1">
        <v>83</v>
      </c>
      <c r="D81" s="1">
        <v>6</v>
      </c>
      <c r="E81" s="1">
        <v>135.031342</v>
      </c>
      <c r="F81" s="1">
        <v>2.6190000000000002</v>
      </c>
      <c r="G81" s="1">
        <v>0.85150700000000001</v>
      </c>
      <c r="H81" s="1" t="s">
        <v>15</v>
      </c>
      <c r="I81" s="1" t="s">
        <v>16</v>
      </c>
      <c r="J81" s="1" t="s">
        <v>80</v>
      </c>
      <c r="K81" s="1" t="s">
        <v>80</v>
      </c>
      <c r="L81" s="1" t="s">
        <v>81</v>
      </c>
      <c r="M81" s="1">
        <v>8.9999999999999993E-3</v>
      </c>
      <c r="N81" s="1">
        <v>0.79101299999999997</v>
      </c>
      <c r="O81" s="1">
        <v>135.031342</v>
      </c>
      <c r="P81" s="2">
        <v>0</v>
      </c>
      <c r="Q81" s="2">
        <v>5263.56</v>
      </c>
      <c r="R81" s="2">
        <v>2892.37</v>
      </c>
      <c r="S81" s="2">
        <v>2284.89</v>
      </c>
      <c r="T81" s="2">
        <v>0</v>
      </c>
      <c r="U81" s="2">
        <v>0</v>
      </c>
      <c r="V81" s="2">
        <v>183212.05</v>
      </c>
      <c r="W81" s="2">
        <v>567503.75</v>
      </c>
      <c r="X81" s="2">
        <v>405099.62</v>
      </c>
      <c r="Y81" s="1">
        <f t="shared" ca="1" si="1"/>
        <v>2624</v>
      </c>
      <c r="Z81" s="1">
        <f t="shared" ca="1" si="1"/>
        <v>1738</v>
      </c>
    </row>
    <row r="82" spans="2:26" x14ac:dyDescent="0.2">
      <c r="B82" s="1">
        <v>83</v>
      </c>
      <c r="C82" s="1">
        <v>84</v>
      </c>
      <c r="D82" s="1">
        <v>3</v>
      </c>
      <c r="E82" s="1">
        <v>136.034637</v>
      </c>
      <c r="F82" s="1">
        <v>2.6389999999999998</v>
      </c>
      <c r="G82" s="1">
        <v>0.576515</v>
      </c>
      <c r="I82" s="1" t="s">
        <v>19</v>
      </c>
      <c r="J82" s="1" t="s">
        <v>80</v>
      </c>
      <c r="K82" s="1" t="s">
        <v>80</v>
      </c>
      <c r="L82" s="1" t="s">
        <v>81</v>
      </c>
      <c r="M82" s="1">
        <v>2.9000000000000001E-2</v>
      </c>
      <c r="N82" s="1">
        <v>0.336505</v>
      </c>
      <c r="O82" s="1">
        <v>135.031342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3774.64</v>
      </c>
      <c r="W82" s="2">
        <v>21619.58</v>
      </c>
      <c r="X82" s="2">
        <v>13136.84</v>
      </c>
      <c r="Y82" s="1">
        <f t="shared" ca="1" si="1"/>
        <v>6335</v>
      </c>
      <c r="Z82" s="1">
        <f t="shared" ca="1" si="1"/>
        <v>1827</v>
      </c>
    </row>
    <row r="83" spans="2:26" x14ac:dyDescent="0.2">
      <c r="B83" s="1">
        <v>85</v>
      </c>
      <c r="C83" s="1">
        <v>85</v>
      </c>
      <c r="D83" s="1">
        <v>13</v>
      </c>
      <c r="E83" s="1">
        <v>137.02453600000001</v>
      </c>
      <c r="F83" s="1">
        <v>1.3320000000000001</v>
      </c>
      <c r="G83" s="1">
        <v>0.823542</v>
      </c>
      <c r="H83" s="1" t="s">
        <v>15</v>
      </c>
      <c r="I83" s="1" t="s">
        <v>16</v>
      </c>
      <c r="J83" s="1" t="s">
        <v>82</v>
      </c>
      <c r="K83" s="1" t="s">
        <v>82</v>
      </c>
      <c r="L83" s="1" t="s">
        <v>83</v>
      </c>
      <c r="M83" s="1">
        <v>8.0000000000000002E-3</v>
      </c>
      <c r="N83" s="1">
        <v>0.89086500000000002</v>
      </c>
      <c r="O83" s="1">
        <v>137.02453600000001</v>
      </c>
      <c r="P83" s="2">
        <v>5238493.5</v>
      </c>
      <c r="Q83" s="2">
        <v>5639318</v>
      </c>
      <c r="R83" s="2">
        <v>5503772</v>
      </c>
      <c r="S83" s="2">
        <v>4602818.5</v>
      </c>
      <c r="T83" s="2">
        <v>6083436.5</v>
      </c>
      <c r="U83" s="2">
        <v>6242996</v>
      </c>
      <c r="V83" s="2">
        <v>536851.12</v>
      </c>
      <c r="W83" s="2">
        <v>504240.5</v>
      </c>
      <c r="X83" s="2">
        <v>542186.38</v>
      </c>
      <c r="Y83" s="1">
        <f t="shared" ca="1" si="1"/>
        <v>1191</v>
      </c>
      <c r="Z83" s="1">
        <f t="shared" ca="1" si="1"/>
        <v>1367</v>
      </c>
    </row>
    <row r="84" spans="2:26" x14ac:dyDescent="0.2">
      <c r="B84" s="1">
        <v>85</v>
      </c>
      <c r="C84" s="1">
        <v>86</v>
      </c>
      <c r="D84" s="1">
        <v>1</v>
      </c>
      <c r="E84" s="1">
        <v>138.027863</v>
      </c>
      <c r="F84" s="1">
        <v>1.3340000000000001</v>
      </c>
      <c r="G84" s="1">
        <v>0.57739399999999996</v>
      </c>
      <c r="I84" s="1" t="s">
        <v>19</v>
      </c>
      <c r="J84" s="1" t="s">
        <v>82</v>
      </c>
      <c r="K84" s="1" t="s">
        <v>82</v>
      </c>
      <c r="L84" s="1" t="s">
        <v>83</v>
      </c>
      <c r="M84" s="1">
        <v>6.0000000000000001E-3</v>
      </c>
      <c r="N84" s="1">
        <v>0.66329199999999999</v>
      </c>
      <c r="O84" s="1">
        <v>137.02453600000001</v>
      </c>
      <c r="P84" s="2">
        <v>382975.41</v>
      </c>
      <c r="Q84" s="2">
        <v>381928.38</v>
      </c>
      <c r="R84" s="2">
        <v>392243.25</v>
      </c>
      <c r="S84" s="2">
        <v>320079.81</v>
      </c>
      <c r="T84" s="2">
        <v>390619.25</v>
      </c>
      <c r="U84" s="2">
        <v>405721.09</v>
      </c>
      <c r="V84" s="2">
        <v>32858.050000000003</v>
      </c>
      <c r="W84" s="2">
        <v>26356.46</v>
      </c>
      <c r="X84" s="2">
        <v>40247.86</v>
      </c>
      <c r="Y84" s="1">
        <f t="shared" ca="1" si="1"/>
        <v>1096</v>
      </c>
      <c r="Z84" s="1">
        <f t="shared" ca="1" si="1"/>
        <v>4212</v>
      </c>
    </row>
    <row r="85" spans="2:26" x14ac:dyDescent="0.2">
      <c r="B85" s="1">
        <v>85</v>
      </c>
      <c r="C85" s="1">
        <v>87</v>
      </c>
      <c r="D85" s="1">
        <v>0</v>
      </c>
      <c r="E85" s="1">
        <v>139.031387</v>
      </c>
      <c r="F85" s="1">
        <v>1.353</v>
      </c>
      <c r="G85" s="1">
        <v>6.5298999999999996E-2</v>
      </c>
      <c r="I85" s="1" t="s">
        <v>22</v>
      </c>
      <c r="J85" s="1" t="s">
        <v>82</v>
      </c>
      <c r="K85" s="1" t="s">
        <v>82</v>
      </c>
      <c r="L85" s="1" t="s">
        <v>83</v>
      </c>
      <c r="M85" s="1">
        <v>1.2999999999999999E-2</v>
      </c>
      <c r="N85" s="1">
        <v>1.8657649999999999</v>
      </c>
      <c r="O85" s="1">
        <v>137.02453600000001</v>
      </c>
      <c r="P85" s="2">
        <v>7886.57</v>
      </c>
      <c r="Q85" s="2">
        <v>11421.69</v>
      </c>
      <c r="R85" s="2">
        <v>7710.73</v>
      </c>
      <c r="S85" s="2">
        <v>3566.39</v>
      </c>
      <c r="T85" s="2">
        <v>4184.7299999999996</v>
      </c>
      <c r="U85" s="2">
        <v>6537.71</v>
      </c>
      <c r="V85" s="2">
        <v>0</v>
      </c>
      <c r="W85" s="2">
        <v>0</v>
      </c>
      <c r="X85" s="2">
        <v>0</v>
      </c>
      <c r="Y85" s="1">
        <f t="shared" ca="1" si="1"/>
        <v>7699</v>
      </c>
      <c r="Z85" s="1">
        <f t="shared" ca="1" si="1"/>
        <v>6960</v>
      </c>
    </row>
    <row r="86" spans="2:26" x14ac:dyDescent="0.2">
      <c r="B86" s="1">
        <v>85</v>
      </c>
      <c r="C86" s="1">
        <v>88</v>
      </c>
      <c r="D86" s="1">
        <v>0</v>
      </c>
      <c r="E86" s="1">
        <v>140.03512599999999</v>
      </c>
      <c r="F86" s="1">
        <v>1.3480000000000001</v>
      </c>
      <c r="G86" s="1">
        <v>5.5692999999999999E-2</v>
      </c>
      <c r="I86" s="1" t="s">
        <v>23</v>
      </c>
      <c r="J86" s="1" t="s">
        <v>82</v>
      </c>
      <c r="K86" s="1" t="s">
        <v>82</v>
      </c>
      <c r="L86" s="1" t="s">
        <v>83</v>
      </c>
      <c r="M86" s="1">
        <v>8.0000000000000002E-3</v>
      </c>
      <c r="N86" s="1">
        <v>4.5765089999999997</v>
      </c>
      <c r="O86" s="1">
        <v>137.02453600000001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3408.09</v>
      </c>
      <c r="Y86" s="1">
        <f t="shared" ca="1" si="1"/>
        <v>3170</v>
      </c>
      <c r="Z86" s="1">
        <f t="shared" ca="1" si="1"/>
        <v>6051</v>
      </c>
    </row>
    <row r="87" spans="2:26" x14ac:dyDescent="0.2">
      <c r="B87" s="1">
        <v>85</v>
      </c>
      <c r="C87" s="1">
        <v>89</v>
      </c>
      <c r="D87" s="1">
        <v>0</v>
      </c>
      <c r="E87" s="1">
        <v>141.03779599999999</v>
      </c>
      <c r="F87" s="1">
        <v>1.3919999999999999</v>
      </c>
      <c r="G87" s="1">
        <v>0.22184499999999999</v>
      </c>
      <c r="I87" s="1" t="s">
        <v>59</v>
      </c>
      <c r="J87" s="1" t="s">
        <v>82</v>
      </c>
      <c r="K87" s="1" t="s">
        <v>82</v>
      </c>
      <c r="L87" s="1" t="s">
        <v>83</v>
      </c>
      <c r="M87" s="1">
        <v>5.1999999999999998E-2</v>
      </c>
      <c r="N87" s="1">
        <v>0.32456800000000002</v>
      </c>
      <c r="O87" s="1">
        <v>137.02453600000001</v>
      </c>
      <c r="P87" s="2">
        <v>10917.97</v>
      </c>
      <c r="Q87" s="2">
        <v>6587.38</v>
      </c>
      <c r="R87" s="2">
        <v>24226.69</v>
      </c>
      <c r="S87" s="2">
        <v>14712.28</v>
      </c>
      <c r="T87" s="2">
        <v>16066.71</v>
      </c>
      <c r="U87" s="2">
        <v>32954.44</v>
      </c>
      <c r="V87" s="2">
        <v>12826.69</v>
      </c>
      <c r="W87" s="2">
        <v>19891.27</v>
      </c>
      <c r="X87" s="2">
        <v>13835.76</v>
      </c>
      <c r="Y87" s="1">
        <f t="shared" ca="1" si="1"/>
        <v>3906</v>
      </c>
      <c r="Z87" s="1">
        <f t="shared" ca="1" si="1"/>
        <v>3955</v>
      </c>
    </row>
    <row r="88" spans="2:26" x14ac:dyDescent="0.2">
      <c r="B88" s="1">
        <v>90</v>
      </c>
      <c r="C88" s="1">
        <v>90</v>
      </c>
      <c r="D88" s="1">
        <v>14</v>
      </c>
      <c r="E88" s="1">
        <v>137.035721</v>
      </c>
      <c r="F88" s="1">
        <v>3.8639999999999999</v>
      </c>
      <c r="G88" s="1">
        <v>0.83184400000000003</v>
      </c>
      <c r="H88" s="1" t="s">
        <v>15</v>
      </c>
      <c r="I88" s="1" t="s">
        <v>16</v>
      </c>
      <c r="J88" s="1" t="s">
        <v>84</v>
      </c>
      <c r="K88" s="1" t="s">
        <v>84</v>
      </c>
      <c r="L88" s="1" t="s">
        <v>85</v>
      </c>
      <c r="M88" s="1">
        <v>0.29599999999999999</v>
      </c>
      <c r="N88" s="1">
        <v>0.55674500000000005</v>
      </c>
      <c r="O88" s="1">
        <v>137.035721</v>
      </c>
      <c r="P88" s="2">
        <v>17874050</v>
      </c>
      <c r="Q88" s="2">
        <v>18732846</v>
      </c>
      <c r="R88" s="2">
        <v>6598154</v>
      </c>
      <c r="S88" s="2">
        <v>4341290</v>
      </c>
      <c r="T88" s="2">
        <v>308037.25</v>
      </c>
      <c r="U88" s="2">
        <v>25868.54</v>
      </c>
      <c r="V88" s="2">
        <v>50503.12</v>
      </c>
      <c r="W88" s="2">
        <v>161552.48000000001</v>
      </c>
      <c r="X88" s="2">
        <v>20626.62</v>
      </c>
      <c r="Y88" s="1">
        <f t="shared" ca="1" si="1"/>
        <v>5814</v>
      </c>
      <c r="Z88" s="1">
        <f t="shared" ca="1" si="1"/>
        <v>2230</v>
      </c>
    </row>
    <row r="89" spans="2:26" x14ac:dyDescent="0.2">
      <c r="B89" s="1">
        <v>90</v>
      </c>
      <c r="C89" s="1">
        <v>91</v>
      </c>
      <c r="D89" s="1">
        <v>7</v>
      </c>
      <c r="E89" s="1">
        <v>138.03909300000001</v>
      </c>
      <c r="F89" s="1">
        <v>3.8380000000000001</v>
      </c>
      <c r="G89" s="1">
        <v>0.83308400000000005</v>
      </c>
      <c r="I89" s="1" t="s">
        <v>19</v>
      </c>
      <c r="J89" s="1" t="s">
        <v>84</v>
      </c>
      <c r="K89" s="1" t="s">
        <v>84</v>
      </c>
      <c r="L89" s="1" t="s">
        <v>85</v>
      </c>
      <c r="M89" s="1">
        <v>0.32200000000000001</v>
      </c>
      <c r="N89" s="1">
        <v>0.66323799999999999</v>
      </c>
      <c r="O89" s="1">
        <v>137.035721</v>
      </c>
      <c r="P89" s="2">
        <v>1140206.6200000001</v>
      </c>
      <c r="Q89" s="2">
        <v>1135295.3799999999</v>
      </c>
      <c r="R89" s="2">
        <v>381059.41</v>
      </c>
      <c r="S89" s="2">
        <v>259278.05</v>
      </c>
      <c r="T89" s="2">
        <v>16915.79</v>
      </c>
      <c r="U89" s="2">
        <v>0</v>
      </c>
      <c r="V89" s="2">
        <v>3384.77</v>
      </c>
      <c r="W89" s="2">
        <v>7836.99</v>
      </c>
      <c r="X89" s="2">
        <v>0</v>
      </c>
      <c r="Y89" s="1">
        <f t="shared" ca="1" si="1"/>
        <v>6973</v>
      </c>
      <c r="Z89" s="1">
        <f t="shared" ca="1" si="1"/>
        <v>6939</v>
      </c>
    </row>
    <row r="90" spans="2:26" x14ac:dyDescent="0.2">
      <c r="B90" s="1">
        <v>90</v>
      </c>
      <c r="C90" s="1">
        <v>92</v>
      </c>
      <c r="D90" s="1">
        <v>2</v>
      </c>
      <c r="E90" s="1">
        <v>139.042404</v>
      </c>
      <c r="F90" s="1">
        <v>3.8050000000000002</v>
      </c>
      <c r="G90" s="1">
        <v>0.81238500000000002</v>
      </c>
      <c r="I90" s="1" t="s">
        <v>22</v>
      </c>
      <c r="J90" s="1" t="s">
        <v>84</v>
      </c>
      <c r="K90" s="1" t="s">
        <v>84</v>
      </c>
      <c r="L90" s="1" t="s">
        <v>85</v>
      </c>
      <c r="M90" s="1">
        <v>0.35499999999999998</v>
      </c>
      <c r="N90" s="1">
        <v>0.32922600000000002</v>
      </c>
      <c r="O90" s="1">
        <v>137.035721</v>
      </c>
      <c r="P90" s="2">
        <v>20873.52</v>
      </c>
      <c r="Q90" s="2">
        <v>29031.02</v>
      </c>
      <c r="R90" s="2">
        <v>11386.37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1">
        <f t="shared" ca="1" si="1"/>
        <v>1271</v>
      </c>
      <c r="Z90" s="1">
        <f t="shared" ca="1" si="1"/>
        <v>7105</v>
      </c>
    </row>
    <row r="91" spans="2:26" x14ac:dyDescent="0.2">
      <c r="B91" s="1">
        <v>93</v>
      </c>
      <c r="C91" s="1">
        <v>93</v>
      </c>
      <c r="D91" s="1">
        <v>18</v>
      </c>
      <c r="E91" s="1">
        <v>140.01208500000001</v>
      </c>
      <c r="F91" s="1">
        <v>9.6039999999999992</v>
      </c>
      <c r="G91" s="1">
        <v>0.851248</v>
      </c>
      <c r="H91" s="1" t="s">
        <v>15</v>
      </c>
      <c r="I91" s="1" t="s">
        <v>16</v>
      </c>
      <c r="J91" s="1" t="s">
        <v>86</v>
      </c>
      <c r="K91" s="1" t="s">
        <v>86</v>
      </c>
      <c r="L91" s="1" t="s">
        <v>87</v>
      </c>
      <c r="M91" s="1">
        <v>0.186</v>
      </c>
      <c r="N91" s="1">
        <v>1.8526959999999999</v>
      </c>
      <c r="O91" s="1">
        <v>140.01208500000001</v>
      </c>
      <c r="P91" s="2">
        <v>79821.63</v>
      </c>
      <c r="Q91" s="2">
        <v>47853.69</v>
      </c>
      <c r="R91" s="2">
        <v>257192.95</v>
      </c>
      <c r="S91" s="2">
        <v>74190.84</v>
      </c>
      <c r="T91" s="2">
        <v>47371.92</v>
      </c>
      <c r="U91" s="2">
        <v>65298.19</v>
      </c>
      <c r="V91" s="2">
        <v>617641.56000000006</v>
      </c>
      <c r="W91" s="2">
        <v>926406.94</v>
      </c>
      <c r="X91" s="2">
        <v>2056696.62</v>
      </c>
      <c r="Y91" s="1">
        <f t="shared" ca="1" si="1"/>
        <v>2381</v>
      </c>
      <c r="Z91" s="1">
        <f t="shared" ca="1" si="1"/>
        <v>7928</v>
      </c>
    </row>
    <row r="92" spans="2:26" x14ac:dyDescent="0.2">
      <c r="B92" s="1">
        <v>94</v>
      </c>
      <c r="C92" s="1">
        <v>94</v>
      </c>
      <c r="D92" s="1">
        <v>18</v>
      </c>
      <c r="E92" s="1">
        <v>143.03500399999999</v>
      </c>
      <c r="F92" s="1">
        <v>5.532</v>
      </c>
      <c r="G92" s="1">
        <v>0.83735800000000005</v>
      </c>
      <c r="H92" s="1" t="s">
        <v>15</v>
      </c>
      <c r="I92" s="1" t="s">
        <v>16</v>
      </c>
      <c r="J92" s="1" t="s">
        <v>88</v>
      </c>
      <c r="K92" s="1" t="s">
        <v>88</v>
      </c>
      <c r="L92" s="1" t="s">
        <v>89</v>
      </c>
      <c r="M92" s="1">
        <v>0.38800000000000001</v>
      </c>
      <c r="N92" s="1">
        <v>0.106679</v>
      </c>
      <c r="O92" s="1">
        <v>143.03500399999999</v>
      </c>
      <c r="P92" s="2">
        <v>8788452</v>
      </c>
      <c r="Q92" s="2">
        <v>3403736</v>
      </c>
      <c r="R92" s="2">
        <v>9729544</v>
      </c>
      <c r="S92" s="2">
        <v>5719093.5</v>
      </c>
      <c r="T92" s="2">
        <v>9858092</v>
      </c>
      <c r="U92" s="2">
        <v>14726095</v>
      </c>
      <c r="V92" s="2">
        <v>433060.72</v>
      </c>
      <c r="W92" s="2">
        <v>526479.93999999994</v>
      </c>
      <c r="X92" s="2">
        <v>6876706</v>
      </c>
      <c r="Y92" s="1">
        <f t="shared" ca="1" si="1"/>
        <v>4055</v>
      </c>
      <c r="Z92" s="1">
        <f t="shared" ca="1" si="1"/>
        <v>5468</v>
      </c>
    </row>
    <row r="93" spans="2:26" x14ac:dyDescent="0.2">
      <c r="B93" s="1">
        <v>94</v>
      </c>
      <c r="C93" s="1">
        <v>95</v>
      </c>
      <c r="D93" s="1">
        <v>11</v>
      </c>
      <c r="E93" s="1">
        <v>144.038498</v>
      </c>
      <c r="F93" s="1">
        <v>5.5350000000000001</v>
      </c>
      <c r="G93" s="1">
        <v>0.81356399999999995</v>
      </c>
      <c r="I93" s="1" t="s">
        <v>19</v>
      </c>
      <c r="J93" s="1" t="s">
        <v>88</v>
      </c>
      <c r="K93" s="1" t="s">
        <v>88</v>
      </c>
      <c r="L93" s="1" t="s">
        <v>89</v>
      </c>
      <c r="M93" s="1">
        <v>0.38500000000000001</v>
      </c>
      <c r="N93" s="1">
        <v>1.165292</v>
      </c>
      <c r="O93" s="1">
        <v>143.03500399999999</v>
      </c>
      <c r="P93" s="2">
        <v>420976.25</v>
      </c>
      <c r="Q93" s="2">
        <v>193283.38</v>
      </c>
      <c r="R93" s="2">
        <v>549012.56000000006</v>
      </c>
      <c r="S93" s="2">
        <v>351834.59</v>
      </c>
      <c r="T93" s="2">
        <v>541151.56000000006</v>
      </c>
      <c r="U93" s="2">
        <v>802032.19</v>
      </c>
      <c r="V93" s="2">
        <v>17749.939999999999</v>
      </c>
      <c r="W93" s="2">
        <v>40188.18</v>
      </c>
      <c r="X93" s="2">
        <v>417510.16</v>
      </c>
      <c r="Y93" s="1">
        <f t="shared" ca="1" si="1"/>
        <v>6145</v>
      </c>
      <c r="Z93" s="1">
        <f t="shared" ca="1" si="1"/>
        <v>2945</v>
      </c>
    </row>
    <row r="94" spans="2:26" x14ac:dyDescent="0.2">
      <c r="B94" s="1">
        <v>94</v>
      </c>
      <c r="C94" s="1">
        <v>96</v>
      </c>
      <c r="D94" s="1">
        <v>3</v>
      </c>
      <c r="E94" s="1">
        <v>145.041763</v>
      </c>
      <c r="F94" s="1">
        <v>5.5330000000000004</v>
      </c>
      <c r="G94" s="1">
        <v>0.68875799999999998</v>
      </c>
      <c r="I94" s="1" t="s">
        <v>22</v>
      </c>
      <c r="J94" s="1" t="s">
        <v>88</v>
      </c>
      <c r="K94" s="1" t="s">
        <v>88</v>
      </c>
      <c r="L94" s="1" t="s">
        <v>89</v>
      </c>
      <c r="M94" s="1">
        <v>0.38700000000000001</v>
      </c>
      <c r="N94" s="1">
        <v>0.52601399999999998</v>
      </c>
      <c r="O94" s="1">
        <v>143.03500399999999</v>
      </c>
      <c r="P94" s="2">
        <v>0</v>
      </c>
      <c r="Q94" s="2">
        <v>0</v>
      </c>
      <c r="R94" s="2">
        <v>12551.39</v>
      </c>
      <c r="S94" s="2">
        <v>23010.38</v>
      </c>
      <c r="T94" s="2">
        <v>43734.52</v>
      </c>
      <c r="U94" s="2">
        <v>52432.61</v>
      </c>
      <c r="V94" s="2">
        <v>0</v>
      </c>
      <c r="W94" s="2">
        <v>0</v>
      </c>
      <c r="X94" s="2">
        <v>24305.51</v>
      </c>
      <c r="Y94" s="1">
        <f t="shared" ca="1" si="1"/>
        <v>3715</v>
      </c>
      <c r="Z94" s="1">
        <f t="shared" ca="1" si="1"/>
        <v>6495</v>
      </c>
    </row>
    <row r="95" spans="2:26" x14ac:dyDescent="0.2">
      <c r="B95" s="1">
        <v>94</v>
      </c>
      <c r="C95" s="1">
        <v>97</v>
      </c>
      <c r="D95" s="1">
        <v>1</v>
      </c>
      <c r="E95" s="1">
        <v>148.05188000000001</v>
      </c>
      <c r="F95" s="1">
        <v>5.5060000000000002</v>
      </c>
      <c r="G95" s="1">
        <v>0.66390199999999999</v>
      </c>
      <c r="I95" s="1" t="s">
        <v>48</v>
      </c>
      <c r="J95" s="1" t="s">
        <v>88</v>
      </c>
      <c r="K95" s="1" t="s">
        <v>88</v>
      </c>
      <c r="L95" s="1" t="s">
        <v>89</v>
      </c>
      <c r="M95" s="1">
        <v>0.41399999999999998</v>
      </c>
      <c r="N95" s="1">
        <v>0.82451099999999999</v>
      </c>
      <c r="O95" s="1">
        <v>143.03500399999999</v>
      </c>
      <c r="P95" s="2">
        <v>0</v>
      </c>
      <c r="Q95" s="2">
        <v>0</v>
      </c>
      <c r="R95" s="2">
        <v>7768.15</v>
      </c>
      <c r="S95" s="2">
        <v>12392.89</v>
      </c>
      <c r="T95" s="2">
        <v>27348.39</v>
      </c>
      <c r="U95" s="2">
        <v>60785.13</v>
      </c>
      <c r="V95" s="2">
        <v>0</v>
      </c>
      <c r="W95" s="2">
        <v>0</v>
      </c>
      <c r="X95" s="2">
        <v>8033.15</v>
      </c>
      <c r="Y95" s="1">
        <f t="shared" ca="1" si="1"/>
        <v>4103</v>
      </c>
      <c r="Z95" s="1">
        <f t="shared" ca="1" si="1"/>
        <v>4662</v>
      </c>
    </row>
    <row r="96" spans="2:26" x14ac:dyDescent="0.2">
      <c r="B96" s="1">
        <v>94</v>
      </c>
      <c r="C96" s="1">
        <v>98</v>
      </c>
      <c r="D96" s="1">
        <v>5</v>
      </c>
      <c r="E96" s="1">
        <v>149.05512999999999</v>
      </c>
      <c r="F96" s="1">
        <v>5.5119999999999996</v>
      </c>
      <c r="G96" s="1">
        <v>0.780277</v>
      </c>
      <c r="I96" s="1" t="s">
        <v>90</v>
      </c>
      <c r="J96" s="1" t="s">
        <v>88</v>
      </c>
      <c r="K96" s="1" t="s">
        <v>88</v>
      </c>
      <c r="L96" s="1" t="s">
        <v>89</v>
      </c>
      <c r="M96" s="1">
        <v>0.40799999999999997</v>
      </c>
      <c r="N96" s="1">
        <v>0.10237</v>
      </c>
      <c r="O96" s="1">
        <v>143.03500399999999</v>
      </c>
      <c r="P96" s="2">
        <v>0</v>
      </c>
      <c r="Q96" s="2">
        <v>51570.27</v>
      </c>
      <c r="R96" s="2">
        <v>314018.34000000003</v>
      </c>
      <c r="S96" s="2">
        <v>287461.15999999997</v>
      </c>
      <c r="T96" s="2">
        <v>761033.25</v>
      </c>
      <c r="U96" s="2">
        <v>936353.5</v>
      </c>
      <c r="V96" s="2">
        <v>0</v>
      </c>
      <c r="W96" s="2">
        <v>34444.639999999999</v>
      </c>
      <c r="X96" s="2">
        <v>149656.51999999999</v>
      </c>
      <c r="Y96" s="1">
        <f t="shared" ca="1" si="1"/>
        <v>2167</v>
      </c>
      <c r="Z96" s="1">
        <f t="shared" ca="1" si="1"/>
        <v>6968</v>
      </c>
    </row>
    <row r="97" spans="2:26" x14ac:dyDescent="0.2">
      <c r="B97" s="1">
        <v>99</v>
      </c>
      <c r="C97" s="1">
        <v>99</v>
      </c>
      <c r="D97" s="1">
        <v>18</v>
      </c>
      <c r="E97" s="1">
        <v>145.01431299999999</v>
      </c>
      <c r="F97" s="1">
        <v>6.6529999999999996</v>
      </c>
      <c r="G97" s="1">
        <v>0.83974499999999996</v>
      </c>
      <c r="H97" s="1" t="s">
        <v>15</v>
      </c>
      <c r="I97" s="1" t="s">
        <v>16</v>
      </c>
      <c r="J97" s="1" t="s">
        <v>91</v>
      </c>
      <c r="K97" s="1" t="s">
        <v>91</v>
      </c>
      <c r="L97" s="1" t="s">
        <v>92</v>
      </c>
      <c r="M97" s="1">
        <v>0.23699999999999999</v>
      </c>
      <c r="N97" s="1">
        <v>0.42089100000000002</v>
      </c>
      <c r="O97" s="1">
        <v>145.01431299999999</v>
      </c>
      <c r="P97" s="2">
        <v>6703513.5</v>
      </c>
      <c r="Q97" s="2">
        <v>11712429</v>
      </c>
      <c r="R97" s="2">
        <v>7300962.5</v>
      </c>
      <c r="S97" s="2">
        <v>4012930</v>
      </c>
      <c r="T97" s="2">
        <v>3608002.25</v>
      </c>
      <c r="U97" s="2">
        <v>5362916.5</v>
      </c>
      <c r="V97" s="2">
        <v>3786326</v>
      </c>
      <c r="W97" s="2">
        <v>1144483</v>
      </c>
      <c r="X97" s="2">
        <v>326660.09000000003</v>
      </c>
      <c r="Y97" s="1">
        <f t="shared" ca="1" si="1"/>
        <v>4817</v>
      </c>
      <c r="Z97" s="1">
        <f t="shared" ca="1" si="1"/>
        <v>6304</v>
      </c>
    </row>
    <row r="98" spans="2:26" x14ac:dyDescent="0.2">
      <c r="B98" s="1">
        <v>99</v>
      </c>
      <c r="C98" s="1">
        <v>100</v>
      </c>
      <c r="D98" s="1">
        <v>15</v>
      </c>
      <c r="E98" s="1">
        <v>146.017776</v>
      </c>
      <c r="F98" s="1">
        <v>6.6660000000000004</v>
      </c>
      <c r="G98" s="1">
        <v>0.840368</v>
      </c>
      <c r="I98" s="1" t="s">
        <v>19</v>
      </c>
      <c r="J98" s="1" t="s">
        <v>91</v>
      </c>
      <c r="K98" s="1" t="s">
        <v>91</v>
      </c>
      <c r="L98" s="1" t="s">
        <v>92</v>
      </c>
      <c r="M98" s="1">
        <v>0.224</v>
      </c>
      <c r="N98" s="1">
        <v>1.1494960000000001</v>
      </c>
      <c r="O98" s="1">
        <v>145.01431299999999</v>
      </c>
      <c r="P98" s="2">
        <v>326181.78000000003</v>
      </c>
      <c r="Q98" s="2">
        <v>647418.56000000006</v>
      </c>
      <c r="R98" s="2">
        <v>362298.75</v>
      </c>
      <c r="S98" s="2">
        <v>203679.62</v>
      </c>
      <c r="T98" s="2">
        <v>194412.89</v>
      </c>
      <c r="U98" s="2">
        <v>286033.19</v>
      </c>
      <c r="V98" s="2">
        <v>157986.35999999999</v>
      </c>
      <c r="W98" s="2">
        <v>54375.24</v>
      </c>
      <c r="X98" s="2">
        <v>17622.13</v>
      </c>
      <c r="Y98" s="1">
        <f t="shared" ca="1" si="1"/>
        <v>7218</v>
      </c>
      <c r="Z98" s="1">
        <f t="shared" ca="1" si="1"/>
        <v>7550</v>
      </c>
    </row>
    <row r="99" spans="2:26" x14ac:dyDescent="0.2">
      <c r="B99" s="1">
        <v>99</v>
      </c>
      <c r="C99" s="1">
        <v>101</v>
      </c>
      <c r="D99" s="1">
        <v>5</v>
      </c>
      <c r="E99" s="1">
        <v>147.02117899999999</v>
      </c>
      <c r="F99" s="1">
        <v>6.617</v>
      </c>
      <c r="G99" s="1">
        <v>0.80262</v>
      </c>
      <c r="I99" s="1" t="s">
        <v>22</v>
      </c>
      <c r="J99" s="1" t="s">
        <v>91</v>
      </c>
      <c r="K99" s="1" t="s">
        <v>91</v>
      </c>
      <c r="L99" s="1" t="s">
        <v>92</v>
      </c>
      <c r="M99" s="1">
        <v>0.27300000000000002</v>
      </c>
      <c r="N99" s="1">
        <v>1.556797</v>
      </c>
      <c r="O99" s="1">
        <v>145.01431299999999</v>
      </c>
      <c r="P99" s="2">
        <v>1834.66</v>
      </c>
      <c r="Q99" s="2">
        <v>11894.61</v>
      </c>
      <c r="R99" s="2">
        <v>22241.01</v>
      </c>
      <c r="S99" s="2">
        <v>23700.68</v>
      </c>
      <c r="T99" s="2">
        <v>31218.15</v>
      </c>
      <c r="U99" s="2">
        <v>48511.27</v>
      </c>
      <c r="V99" s="2">
        <v>0</v>
      </c>
      <c r="W99" s="2">
        <v>2542.9899999999998</v>
      </c>
      <c r="X99" s="2">
        <v>0</v>
      </c>
      <c r="Y99" s="1">
        <f t="shared" ca="1" si="1"/>
        <v>4145</v>
      </c>
      <c r="Z99" s="1">
        <f t="shared" ca="1" si="1"/>
        <v>2500</v>
      </c>
    </row>
    <row r="100" spans="2:26" x14ac:dyDescent="0.2">
      <c r="B100" s="1">
        <v>99</v>
      </c>
      <c r="C100" s="1">
        <v>102</v>
      </c>
      <c r="D100" s="1">
        <v>1</v>
      </c>
      <c r="E100" s="1">
        <v>148.02456699999999</v>
      </c>
      <c r="F100" s="1">
        <v>6.6150000000000002</v>
      </c>
      <c r="G100" s="1">
        <v>0.77071500000000004</v>
      </c>
      <c r="I100" s="1" t="s">
        <v>23</v>
      </c>
      <c r="J100" s="1" t="s">
        <v>91</v>
      </c>
      <c r="K100" s="1" t="s">
        <v>91</v>
      </c>
      <c r="L100" s="1" t="s">
        <v>92</v>
      </c>
      <c r="M100" s="1">
        <v>0.27500000000000002</v>
      </c>
      <c r="N100" s="1">
        <v>1.7524109999999999</v>
      </c>
      <c r="O100" s="1">
        <v>145.01431299999999</v>
      </c>
      <c r="P100" s="2">
        <v>0</v>
      </c>
      <c r="Q100" s="2">
        <v>0</v>
      </c>
      <c r="R100" s="2">
        <v>0</v>
      </c>
      <c r="S100" s="2">
        <v>0</v>
      </c>
      <c r="T100" s="2">
        <v>5638.91</v>
      </c>
      <c r="U100" s="2">
        <v>13786.45</v>
      </c>
      <c r="V100" s="2">
        <v>0</v>
      </c>
      <c r="W100" s="2">
        <v>0</v>
      </c>
      <c r="X100" s="2">
        <v>0</v>
      </c>
      <c r="Y100" s="1">
        <f t="shared" ca="1" si="1"/>
        <v>6408</v>
      </c>
      <c r="Z100" s="1">
        <f t="shared" ca="1" si="1"/>
        <v>1683</v>
      </c>
    </row>
    <row r="101" spans="2:26" x14ac:dyDescent="0.2">
      <c r="B101" s="1">
        <v>103</v>
      </c>
      <c r="C101" s="1">
        <v>103</v>
      </c>
      <c r="D101" s="1">
        <v>18</v>
      </c>
      <c r="E101" s="1">
        <v>145.06193500000001</v>
      </c>
      <c r="F101" s="1">
        <v>7.0439999999999996</v>
      </c>
      <c r="G101" s="1">
        <v>0.82603700000000002</v>
      </c>
      <c r="H101" s="1" t="s">
        <v>15</v>
      </c>
      <c r="I101" s="1" t="s">
        <v>16</v>
      </c>
      <c r="J101" s="1" t="s">
        <v>93</v>
      </c>
      <c r="K101" s="1" t="s">
        <v>93</v>
      </c>
      <c r="L101" s="1" t="s">
        <v>94</v>
      </c>
      <c r="M101" s="1">
        <v>0.33600000000000002</v>
      </c>
      <c r="N101" s="1">
        <v>0.52594099999999999</v>
      </c>
      <c r="O101" s="1">
        <v>145.06193500000001</v>
      </c>
      <c r="P101" s="2">
        <v>24752506</v>
      </c>
      <c r="Q101" s="2">
        <v>9632571</v>
      </c>
      <c r="R101" s="2">
        <v>33750120</v>
      </c>
      <c r="S101" s="2">
        <v>16968818</v>
      </c>
      <c r="T101" s="2">
        <v>30476698</v>
      </c>
      <c r="U101" s="2">
        <v>64879484</v>
      </c>
      <c r="V101" s="2">
        <v>51014944</v>
      </c>
      <c r="W101" s="2">
        <v>67648080</v>
      </c>
      <c r="X101" s="2">
        <v>63608972</v>
      </c>
      <c r="Y101" s="1">
        <f t="shared" ca="1" si="1"/>
        <v>5517</v>
      </c>
      <c r="Z101" s="1">
        <f t="shared" ca="1" si="1"/>
        <v>6283</v>
      </c>
    </row>
    <row r="102" spans="2:26" x14ac:dyDescent="0.2">
      <c r="B102" s="1">
        <v>103</v>
      </c>
      <c r="C102" s="1">
        <v>104</v>
      </c>
      <c r="D102" s="1">
        <v>13</v>
      </c>
      <c r="E102" s="1">
        <v>146.065247</v>
      </c>
      <c r="F102" s="1">
        <v>7.0419999999999998</v>
      </c>
      <c r="G102" s="1">
        <v>0.81449700000000003</v>
      </c>
      <c r="I102" s="1" t="s">
        <v>19</v>
      </c>
      <c r="J102" s="1" t="s">
        <v>93</v>
      </c>
      <c r="K102" s="1" t="s">
        <v>93</v>
      </c>
      <c r="L102" s="1" t="s">
        <v>94</v>
      </c>
      <c r="M102" s="1">
        <v>0.33800000000000002</v>
      </c>
      <c r="N102" s="1">
        <v>0.20893100000000001</v>
      </c>
      <c r="O102" s="1">
        <v>145.06193500000001</v>
      </c>
      <c r="P102" s="2">
        <v>1352545.38</v>
      </c>
      <c r="Q102" s="2">
        <v>508352.25</v>
      </c>
      <c r="R102" s="2">
        <v>1919188</v>
      </c>
      <c r="S102" s="2">
        <v>904031.06</v>
      </c>
      <c r="T102" s="2">
        <v>1675697.12</v>
      </c>
      <c r="U102" s="2">
        <v>3796825</v>
      </c>
      <c r="V102" s="2">
        <v>2815844.25</v>
      </c>
      <c r="W102" s="2">
        <v>3962979.25</v>
      </c>
      <c r="X102" s="2">
        <v>3899831.25</v>
      </c>
      <c r="Y102" s="1">
        <f t="shared" ca="1" si="1"/>
        <v>6366</v>
      </c>
      <c r="Z102" s="1">
        <f t="shared" ca="1" si="1"/>
        <v>7354</v>
      </c>
    </row>
    <row r="103" spans="2:26" x14ac:dyDescent="0.2">
      <c r="B103" s="1">
        <v>103</v>
      </c>
      <c r="C103" s="1">
        <v>105</v>
      </c>
      <c r="D103" s="1">
        <v>8</v>
      </c>
      <c r="E103" s="1">
        <v>147.06843599999999</v>
      </c>
      <c r="F103" s="1">
        <v>7.0460000000000003</v>
      </c>
      <c r="G103" s="1">
        <v>0.81653200000000004</v>
      </c>
      <c r="I103" s="1" t="s">
        <v>22</v>
      </c>
      <c r="J103" s="1" t="s">
        <v>93</v>
      </c>
      <c r="K103" s="1" t="s">
        <v>93</v>
      </c>
      <c r="L103" s="1" t="s">
        <v>94</v>
      </c>
      <c r="M103" s="1">
        <v>0.33400000000000002</v>
      </c>
      <c r="N103" s="1">
        <v>0.93377600000000005</v>
      </c>
      <c r="O103" s="1">
        <v>145.06193500000001</v>
      </c>
      <c r="P103" s="2">
        <v>0</v>
      </c>
      <c r="Q103" s="2">
        <v>0</v>
      </c>
      <c r="R103" s="2">
        <v>26058.12</v>
      </c>
      <c r="S103" s="2">
        <v>48925.89</v>
      </c>
      <c r="T103" s="2">
        <v>161297.92000000001</v>
      </c>
      <c r="U103" s="2">
        <v>357191.47</v>
      </c>
      <c r="V103" s="2">
        <v>33626.82</v>
      </c>
      <c r="W103" s="2">
        <v>102159</v>
      </c>
      <c r="X103" s="2">
        <v>520087.75</v>
      </c>
      <c r="Y103" s="1">
        <f t="shared" ca="1" si="1"/>
        <v>6020</v>
      </c>
      <c r="Z103" s="1">
        <f t="shared" ca="1" si="1"/>
        <v>2604</v>
      </c>
    </row>
    <row r="104" spans="2:26" x14ac:dyDescent="0.2">
      <c r="B104" s="1">
        <v>103</v>
      </c>
      <c r="C104" s="1">
        <v>106</v>
      </c>
      <c r="D104" s="1">
        <v>0</v>
      </c>
      <c r="E104" s="1">
        <v>148.07203699999999</v>
      </c>
      <c r="F104" s="1">
        <v>7.093</v>
      </c>
      <c r="G104" s="1">
        <v>0.207431</v>
      </c>
      <c r="I104" s="1" t="s">
        <v>23</v>
      </c>
      <c r="J104" s="1" t="s">
        <v>93</v>
      </c>
      <c r="K104" s="1" t="s">
        <v>93</v>
      </c>
      <c r="L104" s="1" t="s">
        <v>94</v>
      </c>
      <c r="M104" s="1">
        <v>0.28699999999999998</v>
      </c>
      <c r="N104" s="1">
        <v>0.72134900000000002</v>
      </c>
      <c r="O104" s="1">
        <v>145.06193500000001</v>
      </c>
      <c r="P104" s="2">
        <v>0</v>
      </c>
      <c r="Q104" s="2">
        <v>0</v>
      </c>
      <c r="R104" s="2">
        <v>0</v>
      </c>
      <c r="S104" s="2">
        <v>0</v>
      </c>
      <c r="T104" s="2">
        <v>7942.01</v>
      </c>
      <c r="U104" s="2">
        <v>20491.89</v>
      </c>
      <c r="V104" s="2">
        <v>0</v>
      </c>
      <c r="W104" s="2">
        <v>5783.14</v>
      </c>
      <c r="X104" s="2">
        <v>78257.37</v>
      </c>
      <c r="Y104" s="1">
        <f t="shared" ca="1" si="1"/>
        <v>1145</v>
      </c>
      <c r="Z104" s="1">
        <f t="shared" ca="1" si="1"/>
        <v>7987</v>
      </c>
    </row>
    <row r="105" spans="2:26" x14ac:dyDescent="0.2">
      <c r="B105" s="1">
        <v>107</v>
      </c>
      <c r="C105" s="1">
        <v>107</v>
      </c>
      <c r="D105" s="1">
        <v>18</v>
      </c>
      <c r="E105" s="1">
        <v>145.098389</v>
      </c>
      <c r="F105" s="1">
        <v>13.816000000000001</v>
      </c>
      <c r="G105" s="1">
        <v>0.82933500000000004</v>
      </c>
      <c r="H105" s="1" t="s">
        <v>15</v>
      </c>
      <c r="I105" s="1" t="s">
        <v>16</v>
      </c>
      <c r="J105" s="1" t="s">
        <v>95</v>
      </c>
      <c r="K105" s="1" t="s">
        <v>95</v>
      </c>
      <c r="L105" s="1" t="s">
        <v>96</v>
      </c>
      <c r="M105" s="1">
        <v>0.48399999999999999</v>
      </c>
      <c r="N105" s="1">
        <v>0.94645599999999996</v>
      </c>
      <c r="O105" s="1">
        <v>145.098389</v>
      </c>
      <c r="P105" s="2">
        <v>2082963</v>
      </c>
      <c r="Q105" s="2">
        <v>671553.19</v>
      </c>
      <c r="R105" s="2">
        <v>2635300</v>
      </c>
      <c r="S105" s="2">
        <v>1439520.62</v>
      </c>
      <c r="T105" s="2">
        <v>2462481.25</v>
      </c>
      <c r="U105" s="2">
        <v>3841010.75</v>
      </c>
      <c r="V105" s="2">
        <v>660867.18999999994</v>
      </c>
      <c r="W105" s="2">
        <v>1023563.75</v>
      </c>
      <c r="X105" s="2">
        <v>918308.56</v>
      </c>
      <c r="Y105" s="1">
        <f t="shared" ca="1" si="1"/>
        <v>4440</v>
      </c>
      <c r="Z105" s="1">
        <f t="shared" ca="1" si="1"/>
        <v>1785</v>
      </c>
    </row>
    <row r="106" spans="2:26" x14ac:dyDescent="0.2">
      <c r="B106" s="1">
        <v>107</v>
      </c>
      <c r="C106" s="1">
        <v>108</v>
      </c>
      <c r="D106" s="1">
        <v>18</v>
      </c>
      <c r="E106" s="1">
        <v>146.10173</v>
      </c>
      <c r="F106" s="1">
        <v>13.821999999999999</v>
      </c>
      <c r="G106" s="1">
        <v>0.74162499999999998</v>
      </c>
      <c r="I106" s="1" t="s">
        <v>19</v>
      </c>
      <c r="J106" s="1" t="s">
        <v>95</v>
      </c>
      <c r="K106" s="1" t="s">
        <v>95</v>
      </c>
      <c r="L106" s="1" t="s">
        <v>96</v>
      </c>
      <c r="M106" s="1">
        <v>0.47799999999999998</v>
      </c>
      <c r="N106" s="1">
        <v>0.83551699999999995</v>
      </c>
      <c r="O106" s="1">
        <v>145.098389</v>
      </c>
      <c r="P106" s="2">
        <v>112047.26</v>
      </c>
      <c r="Q106" s="2">
        <v>34402.769999999997</v>
      </c>
      <c r="R106" s="2">
        <v>146411.98000000001</v>
      </c>
      <c r="S106" s="2">
        <v>80895.27</v>
      </c>
      <c r="T106" s="2">
        <v>145717.82999999999</v>
      </c>
      <c r="U106" s="2">
        <v>205404.17</v>
      </c>
      <c r="V106" s="2">
        <v>35075.160000000003</v>
      </c>
      <c r="W106" s="2">
        <v>53605.85</v>
      </c>
      <c r="X106" s="2">
        <v>46460.71</v>
      </c>
      <c r="Y106" s="1">
        <f t="shared" ca="1" si="1"/>
        <v>6005</v>
      </c>
      <c r="Z106" s="1">
        <f t="shared" ca="1" si="1"/>
        <v>7642</v>
      </c>
    </row>
    <row r="107" spans="2:26" x14ac:dyDescent="0.2">
      <c r="B107" s="1">
        <v>107</v>
      </c>
      <c r="C107" s="1">
        <v>109</v>
      </c>
      <c r="D107" s="1">
        <v>0</v>
      </c>
      <c r="E107" s="1">
        <v>147.10495</v>
      </c>
      <c r="F107" s="1">
        <v>13.782</v>
      </c>
      <c r="G107" s="1">
        <v>0.242922</v>
      </c>
      <c r="I107" s="1" t="s">
        <v>22</v>
      </c>
      <c r="J107" s="1" t="s">
        <v>95</v>
      </c>
      <c r="K107" s="1" t="s">
        <v>95</v>
      </c>
      <c r="L107" s="1" t="s">
        <v>96</v>
      </c>
      <c r="M107" s="1">
        <v>0.51800000000000002</v>
      </c>
      <c r="N107" s="1">
        <v>0.103727</v>
      </c>
      <c r="O107" s="1">
        <v>145.098389</v>
      </c>
      <c r="P107" s="2">
        <v>0</v>
      </c>
      <c r="Q107" s="2">
        <v>0</v>
      </c>
      <c r="R107" s="2">
        <v>2492.1999999999998</v>
      </c>
      <c r="S107" s="2">
        <v>0</v>
      </c>
      <c r="T107" s="2">
        <v>1457.78</v>
      </c>
      <c r="U107" s="2">
        <v>4241</v>
      </c>
      <c r="V107" s="2">
        <v>0</v>
      </c>
      <c r="W107" s="2">
        <v>0</v>
      </c>
      <c r="X107" s="2">
        <v>0</v>
      </c>
      <c r="Y107" s="1">
        <f t="shared" ca="1" si="1"/>
        <v>7361</v>
      </c>
      <c r="Z107" s="1">
        <f t="shared" ca="1" si="1"/>
        <v>7087</v>
      </c>
    </row>
    <row r="108" spans="2:26" x14ac:dyDescent="0.2">
      <c r="B108" s="1">
        <v>110</v>
      </c>
      <c r="C108" s="1">
        <v>110</v>
      </c>
      <c r="D108" s="1">
        <v>18</v>
      </c>
      <c r="E108" s="1">
        <v>146.04603599999999</v>
      </c>
      <c r="F108" s="1">
        <v>7.6589999999999998</v>
      </c>
      <c r="G108" s="1">
        <v>0.83868799999999999</v>
      </c>
      <c r="H108" s="1" t="s">
        <v>15</v>
      </c>
      <c r="I108" s="1" t="s">
        <v>16</v>
      </c>
      <c r="J108" s="1" t="s">
        <v>97</v>
      </c>
      <c r="K108" s="1" t="s">
        <v>97</v>
      </c>
      <c r="L108" s="1" t="s">
        <v>98</v>
      </c>
      <c r="M108" s="1">
        <v>0.52100000000000002</v>
      </c>
      <c r="N108" s="1">
        <v>1.044794</v>
      </c>
      <c r="O108" s="1">
        <v>146.04603599999999</v>
      </c>
      <c r="P108" s="2">
        <v>3465573.25</v>
      </c>
      <c r="Q108" s="2">
        <v>1986293.38</v>
      </c>
      <c r="R108" s="2">
        <v>2904184.75</v>
      </c>
      <c r="S108" s="2">
        <v>1564697</v>
      </c>
      <c r="T108" s="2">
        <v>1848419.5</v>
      </c>
      <c r="U108" s="2">
        <v>4092242</v>
      </c>
      <c r="V108" s="2">
        <v>31520080</v>
      </c>
      <c r="W108" s="2">
        <v>51216768</v>
      </c>
      <c r="X108" s="2">
        <v>22028814</v>
      </c>
      <c r="Y108" s="1">
        <f t="shared" ca="1" si="1"/>
        <v>7158</v>
      </c>
      <c r="Z108" s="1">
        <f t="shared" ca="1" si="1"/>
        <v>1964</v>
      </c>
    </row>
    <row r="109" spans="2:26" x14ac:dyDescent="0.2">
      <c r="B109" s="1">
        <v>110</v>
      </c>
      <c r="C109" s="1">
        <v>111</v>
      </c>
      <c r="D109" s="1">
        <v>17</v>
      </c>
      <c r="E109" s="1">
        <v>147.049286</v>
      </c>
      <c r="F109" s="1">
        <v>7.6580000000000004</v>
      </c>
      <c r="G109" s="1">
        <v>0.84146100000000001</v>
      </c>
      <c r="I109" s="1" t="s">
        <v>19</v>
      </c>
      <c r="J109" s="1" t="s">
        <v>97</v>
      </c>
      <c r="K109" s="1" t="s">
        <v>97</v>
      </c>
      <c r="L109" s="1" t="s">
        <v>98</v>
      </c>
      <c r="M109" s="1">
        <v>0.52200000000000002</v>
      </c>
      <c r="N109" s="1">
        <v>0.31130000000000002</v>
      </c>
      <c r="O109" s="1">
        <v>146.04603599999999</v>
      </c>
      <c r="P109" s="2">
        <v>150401.04999999999</v>
      </c>
      <c r="Q109" s="2">
        <v>83263.13</v>
      </c>
      <c r="R109" s="2">
        <v>129850.85</v>
      </c>
      <c r="S109" s="2">
        <v>73265.95</v>
      </c>
      <c r="T109" s="2">
        <v>87660.37</v>
      </c>
      <c r="U109" s="2">
        <v>236778.83</v>
      </c>
      <c r="V109" s="2">
        <v>1781082.12</v>
      </c>
      <c r="W109" s="2">
        <v>3106487</v>
      </c>
      <c r="X109" s="2">
        <v>1352334.12</v>
      </c>
      <c r="Y109" s="1">
        <f t="shared" ca="1" si="1"/>
        <v>2905</v>
      </c>
      <c r="Z109" s="1">
        <f t="shared" ca="1" si="1"/>
        <v>7957</v>
      </c>
    </row>
    <row r="110" spans="2:26" x14ac:dyDescent="0.2">
      <c r="B110" s="1">
        <v>110</v>
      </c>
      <c r="C110" s="1">
        <v>112</v>
      </c>
      <c r="D110" s="1">
        <v>9</v>
      </c>
      <c r="E110" s="1">
        <v>148.05259699999999</v>
      </c>
      <c r="F110" s="1">
        <v>7.7110000000000003</v>
      </c>
      <c r="G110" s="1">
        <v>0.83564499999999997</v>
      </c>
      <c r="I110" s="1" t="s">
        <v>22</v>
      </c>
      <c r="J110" s="1" t="s">
        <v>97</v>
      </c>
      <c r="K110" s="1" t="s">
        <v>97</v>
      </c>
      <c r="L110" s="1" t="s">
        <v>98</v>
      </c>
      <c r="M110" s="1">
        <v>0.46899999999999997</v>
      </c>
      <c r="N110" s="1">
        <v>0</v>
      </c>
      <c r="O110" s="1">
        <v>146.04603599999999</v>
      </c>
      <c r="P110" s="2">
        <v>2993.74</v>
      </c>
      <c r="Q110" s="2">
        <v>0</v>
      </c>
      <c r="R110" s="2">
        <v>3842.96</v>
      </c>
      <c r="S110" s="2">
        <v>14285.38</v>
      </c>
      <c r="T110" s="2">
        <v>20479.52</v>
      </c>
      <c r="U110" s="2">
        <v>48935.61</v>
      </c>
      <c r="V110" s="2">
        <v>26852.61</v>
      </c>
      <c r="W110" s="2">
        <v>232739.92</v>
      </c>
      <c r="X110" s="2">
        <v>228231.45</v>
      </c>
      <c r="Y110" s="1">
        <f t="shared" ca="1" si="1"/>
        <v>6245</v>
      </c>
      <c r="Z110" s="1">
        <f t="shared" ca="1" si="1"/>
        <v>1028</v>
      </c>
    </row>
    <row r="111" spans="2:26" x14ac:dyDescent="0.2">
      <c r="B111" s="1">
        <v>110</v>
      </c>
      <c r="C111" s="1">
        <v>113</v>
      </c>
      <c r="D111" s="1">
        <v>3</v>
      </c>
      <c r="E111" s="1">
        <v>149.05587800000001</v>
      </c>
      <c r="F111" s="1">
        <v>7.66</v>
      </c>
      <c r="G111" s="1">
        <v>0.63143800000000005</v>
      </c>
      <c r="I111" s="1" t="s">
        <v>23</v>
      </c>
      <c r="J111" s="1" t="s">
        <v>97</v>
      </c>
      <c r="K111" s="1" t="s">
        <v>97</v>
      </c>
      <c r="L111" s="1" t="s">
        <v>98</v>
      </c>
      <c r="M111" s="1">
        <v>0.52</v>
      </c>
      <c r="N111" s="1">
        <v>0.40947800000000001</v>
      </c>
      <c r="O111" s="1">
        <v>146.04603599999999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16590.64</v>
      </c>
      <c r="X111" s="2">
        <v>50939.32</v>
      </c>
      <c r="Y111" s="1">
        <f t="shared" ca="1" si="1"/>
        <v>7325</v>
      </c>
      <c r="Z111" s="1">
        <f t="shared" ca="1" si="1"/>
        <v>3330</v>
      </c>
    </row>
    <row r="112" spans="2:26" x14ac:dyDescent="0.2">
      <c r="B112" s="1">
        <v>114</v>
      </c>
      <c r="C112" s="1">
        <v>114</v>
      </c>
      <c r="D112" s="1">
        <v>14</v>
      </c>
      <c r="E112" s="1">
        <v>146.046097</v>
      </c>
      <c r="F112" s="1">
        <v>4.218</v>
      </c>
      <c r="G112" s="1">
        <v>0.81881400000000004</v>
      </c>
      <c r="H112" s="1" t="s">
        <v>15</v>
      </c>
      <c r="I112" s="1" t="s">
        <v>16</v>
      </c>
      <c r="J112" s="1" t="s">
        <v>99</v>
      </c>
      <c r="K112" s="1" t="s">
        <v>99</v>
      </c>
      <c r="L112" s="1" t="s">
        <v>98</v>
      </c>
      <c r="M112" s="1">
        <v>0.47199999999999998</v>
      </c>
      <c r="N112" s="1">
        <v>1.462712</v>
      </c>
      <c r="O112" s="1">
        <v>146.046097</v>
      </c>
      <c r="P112" s="2">
        <v>1220064</v>
      </c>
      <c r="Q112" s="2">
        <v>1269221.3799999999</v>
      </c>
      <c r="R112" s="2">
        <v>498224.09</v>
      </c>
      <c r="S112" s="2">
        <v>238226.52</v>
      </c>
      <c r="T112" s="2">
        <v>208552.2</v>
      </c>
      <c r="U112" s="2">
        <v>264916.12</v>
      </c>
      <c r="V112" s="2">
        <v>350485.28</v>
      </c>
      <c r="W112" s="2">
        <v>155789.64000000001</v>
      </c>
      <c r="X112" s="2">
        <v>124538.54</v>
      </c>
      <c r="Y112" s="1">
        <f t="shared" ca="1" si="1"/>
        <v>3495</v>
      </c>
      <c r="Z112" s="1">
        <f t="shared" ca="1" si="1"/>
        <v>2041</v>
      </c>
    </row>
    <row r="113" spans="2:26" x14ac:dyDescent="0.2">
      <c r="B113" s="1">
        <v>114</v>
      </c>
      <c r="C113" s="1">
        <v>115</v>
      </c>
      <c r="D113" s="1">
        <v>3</v>
      </c>
      <c r="E113" s="1">
        <v>147.049286</v>
      </c>
      <c r="F113" s="1">
        <v>4.1989999999999998</v>
      </c>
      <c r="G113" s="1">
        <v>0.75662700000000005</v>
      </c>
      <c r="I113" s="1" t="s">
        <v>19</v>
      </c>
      <c r="J113" s="1" t="s">
        <v>99</v>
      </c>
      <c r="K113" s="1" t="s">
        <v>99</v>
      </c>
      <c r="L113" s="1" t="s">
        <v>98</v>
      </c>
      <c r="M113" s="1">
        <v>0.49099999999999999</v>
      </c>
      <c r="N113" s="1">
        <v>0.31130000000000002</v>
      </c>
      <c r="O113" s="1">
        <v>146.046097</v>
      </c>
      <c r="P113" s="2">
        <v>51125.93</v>
      </c>
      <c r="Q113" s="2">
        <v>57492.89</v>
      </c>
      <c r="R113" s="2">
        <v>27343.9</v>
      </c>
      <c r="S113" s="2">
        <v>10958.56</v>
      </c>
      <c r="T113" s="2">
        <v>4492.59</v>
      </c>
      <c r="U113" s="2">
        <v>4655.05</v>
      </c>
      <c r="V113" s="2">
        <v>17323.97</v>
      </c>
      <c r="W113" s="2">
        <v>6068.29</v>
      </c>
      <c r="X113" s="2">
        <v>4245.6499999999996</v>
      </c>
      <c r="Y113" s="1">
        <f t="shared" ca="1" si="1"/>
        <v>2111</v>
      </c>
      <c r="Z113" s="1">
        <f t="shared" ca="1" si="1"/>
        <v>3531</v>
      </c>
    </row>
    <row r="114" spans="2:26" x14ac:dyDescent="0.2">
      <c r="B114" s="1">
        <v>116</v>
      </c>
      <c r="C114" s="1">
        <v>116</v>
      </c>
      <c r="D114" s="1">
        <v>15</v>
      </c>
      <c r="E114" s="1">
        <v>147.029999</v>
      </c>
      <c r="F114" s="1">
        <v>7.1879999999999997</v>
      </c>
      <c r="G114" s="1">
        <v>0.82494699999999999</v>
      </c>
      <c r="H114" s="1" t="s">
        <v>15</v>
      </c>
      <c r="I114" s="1" t="s">
        <v>16</v>
      </c>
      <c r="J114" s="1" t="s">
        <v>100</v>
      </c>
      <c r="K114" s="1" t="s">
        <v>100</v>
      </c>
      <c r="L114" s="1" t="s">
        <v>101</v>
      </c>
      <c r="M114" s="1">
        <v>0.39200000000000002</v>
      </c>
      <c r="N114" s="1">
        <v>0.72646100000000002</v>
      </c>
      <c r="O114" s="1">
        <v>147.029999</v>
      </c>
      <c r="P114" s="2">
        <v>448312.62</v>
      </c>
      <c r="Q114" s="2">
        <v>1136351.3799999999</v>
      </c>
      <c r="R114" s="2">
        <v>376530.12</v>
      </c>
      <c r="S114" s="2">
        <v>212030.2</v>
      </c>
      <c r="T114" s="2">
        <v>167862.45</v>
      </c>
      <c r="U114" s="2">
        <v>234441.12</v>
      </c>
      <c r="V114" s="2">
        <v>633560.93999999994</v>
      </c>
      <c r="W114" s="2">
        <v>1512847.5</v>
      </c>
      <c r="X114" s="2">
        <v>874000.75</v>
      </c>
      <c r="Y114" s="1">
        <f t="shared" ca="1" si="1"/>
        <v>6325</v>
      </c>
      <c r="Z114" s="1">
        <f t="shared" ca="1" si="1"/>
        <v>3843</v>
      </c>
    </row>
    <row r="115" spans="2:26" x14ac:dyDescent="0.2">
      <c r="B115" s="1">
        <v>116</v>
      </c>
      <c r="C115" s="1">
        <v>117</v>
      </c>
      <c r="D115" s="1">
        <v>6</v>
      </c>
      <c r="E115" s="1">
        <v>148.03341699999999</v>
      </c>
      <c r="F115" s="1">
        <v>7.2249999999999996</v>
      </c>
      <c r="G115" s="1">
        <v>0.73158299999999998</v>
      </c>
      <c r="I115" s="1" t="s">
        <v>19</v>
      </c>
      <c r="J115" s="1" t="s">
        <v>100</v>
      </c>
      <c r="K115" s="1" t="s">
        <v>100</v>
      </c>
      <c r="L115" s="1" t="s">
        <v>101</v>
      </c>
      <c r="M115" s="1">
        <v>0.35499999999999998</v>
      </c>
      <c r="N115" s="1">
        <v>1.1338440000000001</v>
      </c>
      <c r="O115" s="1">
        <v>147.029999</v>
      </c>
      <c r="P115" s="2">
        <v>9204.17</v>
      </c>
      <c r="Q115" s="2">
        <v>39792.19</v>
      </c>
      <c r="R115" s="2">
        <v>13348.19</v>
      </c>
      <c r="S115" s="2">
        <v>6566.09</v>
      </c>
      <c r="T115" s="2">
        <v>6596.39</v>
      </c>
      <c r="U115" s="2">
        <v>3958.45</v>
      </c>
      <c r="V115" s="2">
        <v>30605.439999999999</v>
      </c>
      <c r="W115" s="2">
        <v>62379.83</v>
      </c>
      <c r="X115" s="2">
        <v>43206.35</v>
      </c>
      <c r="Y115" s="1">
        <f t="shared" ca="1" si="1"/>
        <v>1109</v>
      </c>
      <c r="Z115" s="1">
        <f t="shared" ca="1" si="1"/>
        <v>2208</v>
      </c>
    </row>
    <row r="116" spans="2:26" x14ac:dyDescent="0.2">
      <c r="B116" s="1">
        <v>118</v>
      </c>
      <c r="C116" s="1">
        <v>118</v>
      </c>
      <c r="D116" s="1">
        <v>18</v>
      </c>
      <c r="E116" s="1">
        <v>148.04392999999999</v>
      </c>
      <c r="F116" s="1">
        <v>4.4349999999999996</v>
      </c>
      <c r="G116" s="1">
        <v>0.85444799999999999</v>
      </c>
      <c r="H116" s="1" t="s">
        <v>15</v>
      </c>
      <c r="I116" s="1" t="s">
        <v>16</v>
      </c>
      <c r="J116" s="1" t="s">
        <v>102</v>
      </c>
      <c r="K116" s="1" t="s">
        <v>102</v>
      </c>
      <c r="L116" s="1" t="s">
        <v>103</v>
      </c>
      <c r="M116" s="1">
        <v>0.40500000000000003</v>
      </c>
      <c r="N116" s="1">
        <v>1.030694</v>
      </c>
      <c r="O116" s="1">
        <v>148.04392999999999</v>
      </c>
      <c r="P116" s="2">
        <v>5561227.5</v>
      </c>
      <c r="Q116" s="2">
        <v>1379557.88</v>
      </c>
      <c r="R116" s="2">
        <v>4598910</v>
      </c>
      <c r="S116" s="2">
        <v>2065384.62</v>
      </c>
      <c r="T116" s="2">
        <v>3417155.75</v>
      </c>
      <c r="U116" s="2">
        <v>5252722.5</v>
      </c>
      <c r="V116" s="2">
        <v>897185.94</v>
      </c>
      <c r="W116" s="2">
        <v>713972.69</v>
      </c>
      <c r="X116" s="2">
        <v>2008791.38</v>
      </c>
      <c r="Y116" s="1">
        <f t="shared" ca="1" si="1"/>
        <v>3891</v>
      </c>
      <c r="Z116" s="1">
        <f t="shared" ca="1" si="1"/>
        <v>2578</v>
      </c>
    </row>
    <row r="117" spans="2:26" x14ac:dyDescent="0.2">
      <c r="B117" s="1">
        <v>118</v>
      </c>
      <c r="C117" s="1">
        <v>119</v>
      </c>
      <c r="D117" s="1">
        <v>18</v>
      </c>
      <c r="E117" s="1">
        <v>149.04718</v>
      </c>
      <c r="F117" s="1">
        <v>4.4420000000000002</v>
      </c>
      <c r="G117" s="1">
        <v>0.79570200000000002</v>
      </c>
      <c r="I117" s="1" t="s">
        <v>19</v>
      </c>
      <c r="J117" s="1" t="s">
        <v>102</v>
      </c>
      <c r="K117" s="1" t="s">
        <v>102</v>
      </c>
      <c r="L117" s="1" t="s">
        <v>103</v>
      </c>
      <c r="M117" s="1">
        <v>0.39800000000000002</v>
      </c>
      <c r="N117" s="1">
        <v>0.30712699999999998</v>
      </c>
      <c r="O117" s="1">
        <v>148.04392999999999</v>
      </c>
      <c r="P117" s="2">
        <v>214905.48</v>
      </c>
      <c r="Q117" s="2">
        <v>35991.65</v>
      </c>
      <c r="R117" s="2">
        <v>174371.25</v>
      </c>
      <c r="S117" s="2">
        <v>78400.05</v>
      </c>
      <c r="T117" s="2">
        <v>138328.82999999999</v>
      </c>
      <c r="U117" s="2">
        <v>212990.02</v>
      </c>
      <c r="V117" s="2">
        <v>36251.43</v>
      </c>
      <c r="W117" s="2">
        <v>27272.21</v>
      </c>
      <c r="X117" s="2">
        <v>59004.85</v>
      </c>
      <c r="Y117" s="1">
        <f t="shared" ca="1" si="1"/>
        <v>6374</v>
      </c>
      <c r="Z117" s="1">
        <f t="shared" ca="1" si="1"/>
        <v>3464</v>
      </c>
    </row>
    <row r="118" spans="2:26" x14ac:dyDescent="0.2">
      <c r="B118" s="1">
        <v>120</v>
      </c>
      <c r="C118" s="1">
        <v>120</v>
      </c>
      <c r="D118" s="1">
        <v>13</v>
      </c>
      <c r="E118" s="1">
        <v>149.027863</v>
      </c>
      <c r="F118" s="1">
        <v>2.1190000000000002</v>
      </c>
      <c r="G118" s="1">
        <v>0.84881399999999996</v>
      </c>
      <c r="H118" s="1" t="s">
        <v>15</v>
      </c>
      <c r="I118" s="1" t="s">
        <v>16</v>
      </c>
      <c r="J118" s="1" t="s">
        <v>104</v>
      </c>
      <c r="K118" s="1" t="s">
        <v>104</v>
      </c>
      <c r="L118" s="1" t="s">
        <v>105</v>
      </c>
      <c r="M118" s="1">
        <v>8.1000000000000003E-2</v>
      </c>
      <c r="N118" s="1">
        <v>0.51194399999999995</v>
      </c>
      <c r="O118" s="1">
        <v>149.027863</v>
      </c>
      <c r="P118" s="2">
        <v>344393.28</v>
      </c>
      <c r="Q118" s="2">
        <v>190043.8</v>
      </c>
      <c r="R118" s="2">
        <v>168614.61</v>
      </c>
      <c r="S118" s="2">
        <v>109245.84</v>
      </c>
      <c r="T118" s="2">
        <v>116218.32</v>
      </c>
      <c r="U118" s="2">
        <v>155074.82999999999</v>
      </c>
      <c r="V118" s="2">
        <v>2775.36</v>
      </c>
      <c r="W118" s="2">
        <v>10178.879999999999</v>
      </c>
      <c r="X118" s="2">
        <v>18936.97</v>
      </c>
      <c r="Y118" s="1">
        <f t="shared" ca="1" si="1"/>
        <v>7300</v>
      </c>
      <c r="Z118" s="1">
        <f t="shared" ca="1" si="1"/>
        <v>4981</v>
      </c>
    </row>
    <row r="119" spans="2:26" x14ac:dyDescent="0.2">
      <c r="B119" s="1">
        <v>120</v>
      </c>
      <c r="C119" s="1">
        <v>121</v>
      </c>
      <c r="D119" s="1">
        <v>0</v>
      </c>
      <c r="E119" s="1">
        <v>150.03140300000001</v>
      </c>
      <c r="F119" s="1">
        <v>2.1139999999999999</v>
      </c>
      <c r="G119" s="1">
        <v>0.265851</v>
      </c>
      <c r="I119" s="1" t="s">
        <v>19</v>
      </c>
      <c r="J119" s="1" t="s">
        <v>104</v>
      </c>
      <c r="K119" s="1" t="s">
        <v>104</v>
      </c>
      <c r="L119" s="1" t="s">
        <v>105</v>
      </c>
      <c r="M119" s="1">
        <v>8.5999999999999993E-2</v>
      </c>
      <c r="N119" s="1">
        <v>1.7289699999999999</v>
      </c>
      <c r="O119" s="1">
        <v>149.027863</v>
      </c>
      <c r="P119" s="2">
        <v>8059.42</v>
      </c>
      <c r="Q119" s="2">
        <v>4457.13</v>
      </c>
      <c r="R119" s="2">
        <v>3332.48</v>
      </c>
      <c r="S119" s="2">
        <v>4720.41</v>
      </c>
      <c r="T119" s="2">
        <v>0</v>
      </c>
      <c r="U119" s="2">
        <v>2519.37</v>
      </c>
      <c r="V119" s="2">
        <v>0</v>
      </c>
      <c r="W119" s="2">
        <v>0</v>
      </c>
      <c r="X119" s="2">
        <v>0</v>
      </c>
      <c r="Y119" s="1">
        <f t="shared" ca="1" si="1"/>
        <v>1320</v>
      </c>
      <c r="Z119" s="1">
        <f t="shared" ca="1" si="1"/>
        <v>6061</v>
      </c>
    </row>
    <row r="120" spans="2:26" x14ac:dyDescent="0.2">
      <c r="B120" s="1">
        <v>122</v>
      </c>
      <c r="C120" s="1">
        <v>122</v>
      </c>
      <c r="D120" s="1">
        <v>10</v>
      </c>
      <c r="E120" s="1">
        <v>151.02619899999999</v>
      </c>
      <c r="F120" s="1">
        <v>3.298</v>
      </c>
      <c r="G120" s="1">
        <v>0.85209800000000002</v>
      </c>
      <c r="H120" s="1" t="s">
        <v>15</v>
      </c>
      <c r="I120" s="1" t="s">
        <v>16</v>
      </c>
      <c r="J120" s="1" t="s">
        <v>106</v>
      </c>
      <c r="K120" s="1" t="s">
        <v>106</v>
      </c>
      <c r="L120" s="1" t="s">
        <v>107</v>
      </c>
      <c r="M120" s="1">
        <v>0.24199999999999999</v>
      </c>
      <c r="N120" s="1">
        <v>0.30310199999999998</v>
      </c>
      <c r="O120" s="1">
        <v>151.02619899999999</v>
      </c>
      <c r="P120" s="2">
        <v>163029.54999999999</v>
      </c>
      <c r="Q120" s="2">
        <v>210764.73</v>
      </c>
      <c r="R120" s="2">
        <v>137306</v>
      </c>
      <c r="S120" s="2">
        <v>36093.43</v>
      </c>
      <c r="T120" s="2">
        <v>0</v>
      </c>
      <c r="U120" s="2">
        <v>32172.33</v>
      </c>
      <c r="V120" s="2">
        <v>747142</v>
      </c>
      <c r="W120" s="2">
        <v>1654142.12</v>
      </c>
      <c r="X120" s="2">
        <v>2195338.25</v>
      </c>
      <c r="Y120" s="1">
        <f t="shared" ca="1" si="1"/>
        <v>6209</v>
      </c>
      <c r="Z120" s="1">
        <f t="shared" ca="1" si="1"/>
        <v>6980</v>
      </c>
    </row>
    <row r="121" spans="2:26" x14ac:dyDescent="0.2">
      <c r="B121" s="1">
        <v>122</v>
      </c>
      <c r="C121" s="1">
        <v>123</v>
      </c>
      <c r="D121" s="1">
        <v>6</v>
      </c>
      <c r="E121" s="1">
        <v>152.02950999999999</v>
      </c>
      <c r="F121" s="1">
        <v>3.306</v>
      </c>
      <c r="G121" s="1">
        <v>0.82470200000000005</v>
      </c>
      <c r="I121" s="1" t="s">
        <v>19</v>
      </c>
      <c r="J121" s="1" t="s">
        <v>106</v>
      </c>
      <c r="K121" s="1" t="s">
        <v>106</v>
      </c>
      <c r="L121" s="1" t="s">
        <v>107</v>
      </c>
      <c r="M121" s="1">
        <v>0.23400000000000001</v>
      </c>
      <c r="N121" s="1">
        <v>0.100367</v>
      </c>
      <c r="O121" s="1">
        <v>151.02619899999999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38176.07</v>
      </c>
      <c r="W121" s="2">
        <v>70845.69</v>
      </c>
      <c r="X121" s="2">
        <v>97336.34</v>
      </c>
      <c r="Y121" s="1">
        <f t="shared" ca="1" si="1"/>
        <v>2668</v>
      </c>
      <c r="Z121" s="1">
        <f t="shared" ca="1" si="1"/>
        <v>3299</v>
      </c>
    </row>
    <row r="122" spans="2:26" x14ac:dyDescent="0.2">
      <c r="B122" s="1">
        <v>124</v>
      </c>
      <c r="C122" s="1">
        <v>124</v>
      </c>
      <c r="D122" s="1">
        <v>18</v>
      </c>
      <c r="E122" s="1">
        <v>157.03675799999999</v>
      </c>
      <c r="F122" s="1">
        <v>2.8460000000000001</v>
      </c>
      <c r="G122" s="1">
        <v>0.83524299999999996</v>
      </c>
      <c r="H122" s="1" t="s">
        <v>15</v>
      </c>
      <c r="I122" s="1" t="s">
        <v>16</v>
      </c>
      <c r="J122" s="1" t="s">
        <v>108</v>
      </c>
      <c r="K122" s="1" t="s">
        <v>108</v>
      </c>
      <c r="L122" s="1" t="s">
        <v>109</v>
      </c>
      <c r="M122" s="1">
        <v>7.3999999999999996E-2</v>
      </c>
      <c r="N122" s="1">
        <v>0.29150100000000001</v>
      </c>
      <c r="O122" s="1">
        <v>157.03675799999999</v>
      </c>
      <c r="P122" s="2">
        <v>11821764</v>
      </c>
      <c r="Q122" s="2">
        <v>5893530.5</v>
      </c>
      <c r="R122" s="2">
        <v>8308749.5</v>
      </c>
      <c r="S122" s="2">
        <v>5318003.5</v>
      </c>
      <c r="T122" s="2">
        <v>7219178</v>
      </c>
      <c r="U122" s="2">
        <v>9836049</v>
      </c>
      <c r="V122" s="2">
        <v>1428011.62</v>
      </c>
      <c r="W122" s="2">
        <v>1474066</v>
      </c>
      <c r="X122" s="2">
        <v>3695461.25</v>
      </c>
      <c r="Y122" s="1">
        <f t="shared" ca="1" si="1"/>
        <v>3446</v>
      </c>
      <c r="Z122" s="1">
        <f t="shared" ca="1" si="1"/>
        <v>7496</v>
      </c>
    </row>
    <row r="123" spans="2:26" x14ac:dyDescent="0.2">
      <c r="B123" s="1">
        <v>124</v>
      </c>
      <c r="C123" s="1">
        <v>125</v>
      </c>
      <c r="D123" s="1">
        <v>18</v>
      </c>
      <c r="E123" s="1">
        <v>158.04011499999999</v>
      </c>
      <c r="F123" s="1">
        <v>2.85</v>
      </c>
      <c r="G123" s="1">
        <v>0.84101999999999999</v>
      </c>
      <c r="I123" s="1" t="s">
        <v>19</v>
      </c>
      <c r="J123" s="1" t="s">
        <v>108</v>
      </c>
      <c r="K123" s="1" t="s">
        <v>108</v>
      </c>
      <c r="L123" s="1" t="s">
        <v>109</v>
      </c>
      <c r="M123" s="1">
        <v>7.0000000000000007E-2</v>
      </c>
      <c r="N123" s="1">
        <v>0.28965000000000002</v>
      </c>
      <c r="O123" s="1">
        <v>157.03675799999999</v>
      </c>
      <c r="P123" s="2">
        <v>444976.75</v>
      </c>
      <c r="Q123" s="2">
        <v>199569.2</v>
      </c>
      <c r="R123" s="2">
        <v>285230.75</v>
      </c>
      <c r="S123" s="2">
        <v>174332.73</v>
      </c>
      <c r="T123" s="2">
        <v>267301.12</v>
      </c>
      <c r="U123" s="2">
        <v>333934.78000000003</v>
      </c>
      <c r="V123" s="2">
        <v>54385.7</v>
      </c>
      <c r="W123" s="2">
        <v>57969.81</v>
      </c>
      <c r="X123" s="2">
        <v>128835.34</v>
      </c>
      <c r="Y123" s="1">
        <f t="shared" ca="1" si="1"/>
        <v>4465</v>
      </c>
      <c r="Z123" s="1">
        <f t="shared" ca="1" si="1"/>
        <v>4120</v>
      </c>
    </row>
    <row r="124" spans="2:26" x14ac:dyDescent="0.2">
      <c r="B124" s="1">
        <v>124</v>
      </c>
      <c r="C124" s="1">
        <v>126</v>
      </c>
      <c r="D124" s="1">
        <v>0</v>
      </c>
      <c r="E124" s="1">
        <v>159.04324299999999</v>
      </c>
      <c r="F124" s="1">
        <v>2.8279999999999998</v>
      </c>
      <c r="G124" s="1">
        <v>6.1823999999999997E-2</v>
      </c>
      <c r="I124" s="1" t="s">
        <v>22</v>
      </c>
      <c r="J124" s="1" t="s">
        <v>108</v>
      </c>
      <c r="K124" s="1" t="s">
        <v>108</v>
      </c>
      <c r="L124" s="1" t="s">
        <v>109</v>
      </c>
      <c r="M124" s="1">
        <v>9.1999999999999998E-2</v>
      </c>
      <c r="N124" s="1">
        <v>1.151292</v>
      </c>
      <c r="O124" s="1">
        <v>157.03675799999999</v>
      </c>
      <c r="P124" s="2">
        <v>0</v>
      </c>
      <c r="Q124" s="2">
        <v>0</v>
      </c>
      <c r="R124" s="2">
        <v>0</v>
      </c>
      <c r="S124" s="2">
        <v>0</v>
      </c>
      <c r="T124" s="2">
        <v>5418.99</v>
      </c>
      <c r="U124" s="2">
        <v>12780.94</v>
      </c>
      <c r="V124" s="2">
        <v>0</v>
      </c>
      <c r="W124" s="2">
        <v>0</v>
      </c>
      <c r="X124" s="2">
        <v>0</v>
      </c>
      <c r="Y124" s="1">
        <f t="shared" ca="1" si="1"/>
        <v>3673</v>
      </c>
      <c r="Z124" s="1">
        <f t="shared" ca="1" si="1"/>
        <v>6334</v>
      </c>
    </row>
    <row r="125" spans="2:26" x14ac:dyDescent="0.2">
      <c r="B125" s="1">
        <v>124</v>
      </c>
      <c r="C125" s="1">
        <v>127</v>
      </c>
      <c r="D125" s="1">
        <v>0</v>
      </c>
      <c r="E125" s="1">
        <v>160.047089</v>
      </c>
      <c r="F125" s="1">
        <v>2.7930000000000001</v>
      </c>
      <c r="G125" s="1">
        <v>5.9006000000000003E-2</v>
      </c>
      <c r="I125" s="1" t="s">
        <v>23</v>
      </c>
      <c r="J125" s="1" t="s">
        <v>108</v>
      </c>
      <c r="K125" s="1" t="s">
        <v>108</v>
      </c>
      <c r="L125" s="1" t="s">
        <v>109</v>
      </c>
      <c r="M125" s="1">
        <v>0.127</v>
      </c>
      <c r="N125" s="1">
        <v>1.9067909999999999</v>
      </c>
      <c r="O125" s="1">
        <v>157.03675799999999</v>
      </c>
      <c r="P125" s="2">
        <v>5819.8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1">
        <f t="shared" ca="1" si="1"/>
        <v>6555</v>
      </c>
      <c r="Z125" s="1">
        <f t="shared" ca="1" si="1"/>
        <v>3588</v>
      </c>
    </row>
    <row r="126" spans="2:26" x14ac:dyDescent="0.2">
      <c r="B126" s="1">
        <v>128</v>
      </c>
      <c r="C126" s="1">
        <v>128</v>
      </c>
      <c r="D126" s="1">
        <v>18</v>
      </c>
      <c r="E126" s="1">
        <v>163.06134</v>
      </c>
      <c r="F126" s="1">
        <v>3.617</v>
      </c>
      <c r="G126" s="1">
        <v>0.84929600000000005</v>
      </c>
      <c r="H126" s="1" t="s">
        <v>15</v>
      </c>
      <c r="I126" s="1" t="s">
        <v>16</v>
      </c>
      <c r="J126" s="1" t="s">
        <v>110</v>
      </c>
      <c r="K126" s="1" t="s">
        <v>110</v>
      </c>
      <c r="L126" s="1" t="s">
        <v>111</v>
      </c>
      <c r="M126" s="1">
        <v>0.38700000000000001</v>
      </c>
      <c r="N126" s="1">
        <v>0.842194</v>
      </c>
      <c r="O126" s="1">
        <v>163.06134</v>
      </c>
      <c r="P126" s="2">
        <v>1277503.6200000001</v>
      </c>
      <c r="Q126" s="2">
        <v>622293.81000000006</v>
      </c>
      <c r="R126" s="2">
        <v>1258571.1200000001</v>
      </c>
      <c r="S126" s="2">
        <v>741849</v>
      </c>
      <c r="T126" s="2">
        <v>1066496.1200000001</v>
      </c>
      <c r="U126" s="2">
        <v>1248222.6200000001</v>
      </c>
      <c r="V126" s="2">
        <v>209663.12</v>
      </c>
      <c r="W126" s="2">
        <v>220752.7</v>
      </c>
      <c r="X126" s="2">
        <v>281879.5</v>
      </c>
      <c r="Y126" s="1">
        <f t="shared" ca="1" si="1"/>
        <v>2136</v>
      </c>
      <c r="Z126" s="1">
        <f t="shared" ca="1" si="1"/>
        <v>6374</v>
      </c>
    </row>
    <row r="127" spans="2:26" x14ac:dyDescent="0.2">
      <c r="B127" s="1">
        <v>128</v>
      </c>
      <c r="C127" s="1">
        <v>129</v>
      </c>
      <c r="D127" s="1">
        <v>9</v>
      </c>
      <c r="E127" s="1">
        <v>164.06474299999999</v>
      </c>
      <c r="F127" s="1">
        <v>3.6309999999999998</v>
      </c>
      <c r="G127" s="1">
        <v>0.78686400000000001</v>
      </c>
      <c r="I127" s="1" t="s">
        <v>19</v>
      </c>
      <c r="J127" s="1" t="s">
        <v>110</v>
      </c>
      <c r="K127" s="1" t="s">
        <v>110</v>
      </c>
      <c r="L127" s="1" t="s">
        <v>111</v>
      </c>
      <c r="M127" s="1">
        <v>0.40100000000000002</v>
      </c>
      <c r="N127" s="1">
        <v>1.2090620000000001</v>
      </c>
      <c r="O127" s="1">
        <v>163.06134</v>
      </c>
      <c r="P127" s="2">
        <v>34149.51</v>
      </c>
      <c r="Q127" s="2">
        <v>31389.41</v>
      </c>
      <c r="R127" s="2">
        <v>47142.74</v>
      </c>
      <c r="S127" s="2">
        <v>36929.39</v>
      </c>
      <c r="T127" s="2">
        <v>37201.870000000003</v>
      </c>
      <c r="U127" s="2">
        <v>71012.34</v>
      </c>
      <c r="V127" s="2">
        <v>5007.97</v>
      </c>
      <c r="W127" s="2">
        <v>4198.21</v>
      </c>
      <c r="X127" s="2">
        <v>0</v>
      </c>
      <c r="Y127" s="1">
        <f t="shared" ca="1" si="1"/>
        <v>4915</v>
      </c>
      <c r="Z127" s="1">
        <f t="shared" ca="1" si="1"/>
        <v>6547</v>
      </c>
    </row>
    <row r="128" spans="2:26" x14ac:dyDescent="0.2">
      <c r="B128" s="1">
        <v>128</v>
      </c>
      <c r="C128" s="1">
        <v>130</v>
      </c>
      <c r="D128" s="1">
        <v>0</v>
      </c>
      <c r="E128" s="1">
        <v>165.06849700000001</v>
      </c>
      <c r="F128" s="1">
        <v>3.577</v>
      </c>
      <c r="G128" s="1">
        <v>5.8742000000000003E-2</v>
      </c>
      <c r="I128" s="1" t="s">
        <v>22</v>
      </c>
      <c r="J128" s="1" t="s">
        <v>110</v>
      </c>
      <c r="K128" s="1" t="s">
        <v>110</v>
      </c>
      <c r="L128" s="1" t="s">
        <v>111</v>
      </c>
      <c r="M128" s="1">
        <v>0.34699999999999998</v>
      </c>
      <c r="N128" s="1">
        <v>3.6051389999999999</v>
      </c>
      <c r="O128" s="1">
        <v>163.06134</v>
      </c>
      <c r="P128" s="2">
        <v>3167.52</v>
      </c>
      <c r="Q128" s="2">
        <v>3027.27</v>
      </c>
      <c r="R128" s="2">
        <v>0</v>
      </c>
      <c r="S128" s="2">
        <v>0</v>
      </c>
      <c r="T128" s="2">
        <v>4566.1499999999996</v>
      </c>
      <c r="U128" s="2">
        <v>4251.09</v>
      </c>
      <c r="V128" s="2">
        <v>0</v>
      </c>
      <c r="W128" s="2">
        <v>0</v>
      </c>
      <c r="X128" s="2">
        <v>0</v>
      </c>
      <c r="Y128" s="1">
        <f t="shared" ca="1" si="1"/>
        <v>6315</v>
      </c>
      <c r="Z128" s="1">
        <f t="shared" ca="1" si="1"/>
        <v>2925</v>
      </c>
    </row>
    <row r="129" spans="2:26" x14ac:dyDescent="0.2">
      <c r="B129" s="1">
        <v>131</v>
      </c>
      <c r="C129" s="1">
        <v>131</v>
      </c>
      <c r="D129" s="1">
        <v>18</v>
      </c>
      <c r="E129" s="1">
        <v>164.07179300000001</v>
      </c>
      <c r="F129" s="1">
        <v>3.5169999999999999</v>
      </c>
      <c r="G129" s="1">
        <v>0.82911500000000005</v>
      </c>
      <c r="H129" s="1" t="s">
        <v>15</v>
      </c>
      <c r="I129" s="1" t="s">
        <v>16</v>
      </c>
      <c r="J129" s="1" t="s">
        <v>112</v>
      </c>
      <c r="K129" s="1" t="s">
        <v>112</v>
      </c>
      <c r="L129" s="1" t="s">
        <v>113</v>
      </c>
      <c r="M129" s="1">
        <v>0.313</v>
      </c>
      <c r="N129" s="1">
        <v>0.55800399999999994</v>
      </c>
      <c r="O129" s="1">
        <v>164.07179300000001</v>
      </c>
      <c r="P129" s="2">
        <v>7188292.5</v>
      </c>
      <c r="Q129" s="2">
        <v>2237449</v>
      </c>
      <c r="R129" s="2">
        <v>7098608</v>
      </c>
      <c r="S129" s="2">
        <v>3868409.25</v>
      </c>
      <c r="T129" s="2">
        <v>6486888.5</v>
      </c>
      <c r="U129" s="2">
        <v>8567299</v>
      </c>
      <c r="V129" s="2">
        <v>2146544.25</v>
      </c>
      <c r="W129" s="2">
        <v>1669270.88</v>
      </c>
      <c r="X129" s="2">
        <v>3884085</v>
      </c>
      <c r="Y129" s="1">
        <f t="shared" ca="1" si="1"/>
        <v>1083</v>
      </c>
      <c r="Z129" s="1">
        <f t="shared" ca="1" si="1"/>
        <v>7002</v>
      </c>
    </row>
    <row r="130" spans="2:26" x14ac:dyDescent="0.2">
      <c r="B130" s="1">
        <v>131</v>
      </c>
      <c r="C130" s="1">
        <v>132</v>
      </c>
      <c r="D130" s="1">
        <v>18</v>
      </c>
      <c r="E130" s="1">
        <v>165.07513399999999</v>
      </c>
      <c r="F130" s="1">
        <v>3.5209999999999999</v>
      </c>
      <c r="G130" s="1">
        <v>0.83807200000000004</v>
      </c>
      <c r="I130" s="1" t="s">
        <v>19</v>
      </c>
      <c r="J130" s="1" t="s">
        <v>112</v>
      </c>
      <c r="K130" s="1" t="s">
        <v>112</v>
      </c>
      <c r="L130" s="1" t="s">
        <v>113</v>
      </c>
      <c r="M130" s="1">
        <v>0.309</v>
      </c>
      <c r="N130" s="1">
        <v>0.462177</v>
      </c>
      <c r="O130" s="1">
        <v>164.07179300000001</v>
      </c>
      <c r="P130" s="2">
        <v>591598.5</v>
      </c>
      <c r="Q130" s="2">
        <v>161389.25</v>
      </c>
      <c r="R130" s="2">
        <v>606528</v>
      </c>
      <c r="S130" s="2">
        <v>314958.84000000003</v>
      </c>
      <c r="T130" s="2">
        <v>553418.43999999994</v>
      </c>
      <c r="U130" s="2">
        <v>765282</v>
      </c>
      <c r="V130" s="2">
        <v>146990.35999999999</v>
      </c>
      <c r="W130" s="2">
        <v>129329.34</v>
      </c>
      <c r="X130" s="2">
        <v>293023.88</v>
      </c>
      <c r="Y130" s="1">
        <f t="shared" ca="1" si="1"/>
        <v>7672</v>
      </c>
      <c r="Z130" s="1">
        <f t="shared" ca="1" si="1"/>
        <v>3643</v>
      </c>
    </row>
    <row r="131" spans="2:26" x14ac:dyDescent="0.2">
      <c r="B131" s="1">
        <v>131</v>
      </c>
      <c r="C131" s="1">
        <v>133</v>
      </c>
      <c r="D131" s="1">
        <v>4</v>
      </c>
      <c r="E131" s="1">
        <v>166.07844499999999</v>
      </c>
      <c r="F131" s="1">
        <v>3.5419999999999998</v>
      </c>
      <c r="G131" s="1">
        <v>0.80544400000000005</v>
      </c>
      <c r="I131" s="1" t="s">
        <v>22</v>
      </c>
      <c r="J131" s="1" t="s">
        <v>112</v>
      </c>
      <c r="K131" s="1" t="s">
        <v>112</v>
      </c>
      <c r="L131" s="1" t="s">
        <v>113</v>
      </c>
      <c r="M131" s="1">
        <v>0.28799999999999998</v>
      </c>
      <c r="N131" s="1">
        <v>0.183754</v>
      </c>
      <c r="O131" s="1">
        <v>164.07179300000001</v>
      </c>
      <c r="P131" s="2">
        <v>15651.47</v>
      </c>
      <c r="Q131" s="2">
        <v>4566.29</v>
      </c>
      <c r="R131" s="2">
        <v>20915.04</v>
      </c>
      <c r="S131" s="2">
        <v>4227.26</v>
      </c>
      <c r="T131" s="2">
        <v>15992.85</v>
      </c>
      <c r="U131" s="2">
        <v>22561.72</v>
      </c>
      <c r="V131" s="2">
        <v>3692.97</v>
      </c>
      <c r="W131" s="2">
        <v>0</v>
      </c>
      <c r="X131" s="2">
        <v>5651.09</v>
      </c>
      <c r="Y131" s="1">
        <f t="shared" ref="Y131:Z194" ca="1" si="2">RANDBETWEEN(1000, 8000)</f>
        <v>3804</v>
      </c>
      <c r="Z131" s="1">
        <f t="shared" ca="1" si="2"/>
        <v>7172</v>
      </c>
    </row>
    <row r="132" spans="2:26" x14ac:dyDescent="0.2">
      <c r="B132" s="1">
        <v>134</v>
      </c>
      <c r="C132" s="1">
        <v>134</v>
      </c>
      <c r="D132" s="1">
        <v>6</v>
      </c>
      <c r="E132" s="1">
        <v>166.975266</v>
      </c>
      <c r="F132" s="1">
        <v>9.1890000000000001</v>
      </c>
      <c r="G132" s="1">
        <v>0.85316000000000003</v>
      </c>
      <c r="H132" s="1" t="s">
        <v>15</v>
      </c>
      <c r="I132" s="1" t="s">
        <v>16</v>
      </c>
      <c r="J132" s="1" t="s">
        <v>114</v>
      </c>
      <c r="K132" s="1" t="s">
        <v>114</v>
      </c>
      <c r="L132" s="1" t="s">
        <v>115</v>
      </c>
      <c r="M132" s="1">
        <v>0.23100000000000001</v>
      </c>
      <c r="N132" s="1">
        <v>1.00522</v>
      </c>
      <c r="O132" s="1">
        <v>166.975266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2716.01</v>
      </c>
      <c r="V132" s="2">
        <v>26342.84</v>
      </c>
      <c r="W132" s="2">
        <v>253705.67</v>
      </c>
      <c r="X132" s="2">
        <v>27466.66</v>
      </c>
      <c r="Y132" s="1">
        <f t="shared" ca="1" si="2"/>
        <v>6612</v>
      </c>
      <c r="Z132" s="1">
        <f t="shared" ca="1" si="2"/>
        <v>6362</v>
      </c>
    </row>
    <row r="133" spans="2:26" x14ac:dyDescent="0.2">
      <c r="B133" s="1">
        <v>134</v>
      </c>
      <c r="C133" s="1">
        <v>135</v>
      </c>
      <c r="D133" s="1">
        <v>0</v>
      </c>
      <c r="E133" s="1">
        <v>167.978668</v>
      </c>
      <c r="F133" s="1">
        <v>9.1530000000000005</v>
      </c>
      <c r="G133" s="1">
        <v>6.0768000000000003E-2</v>
      </c>
      <c r="I133" s="1" t="s">
        <v>19</v>
      </c>
      <c r="J133" s="1" t="s">
        <v>114</v>
      </c>
      <c r="K133" s="1" t="s">
        <v>114</v>
      </c>
      <c r="L133" s="1" t="s">
        <v>115</v>
      </c>
      <c r="M133" s="1">
        <v>0.26700000000000002</v>
      </c>
      <c r="N133" s="1">
        <v>1.2717290000000001</v>
      </c>
      <c r="O133" s="1">
        <v>166.975266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6663.2</v>
      </c>
      <c r="X133" s="2">
        <v>0</v>
      </c>
      <c r="Y133" s="1">
        <f t="shared" ca="1" si="2"/>
        <v>6109</v>
      </c>
      <c r="Z133" s="1">
        <f t="shared" ca="1" si="2"/>
        <v>7099</v>
      </c>
    </row>
    <row r="134" spans="2:26" x14ac:dyDescent="0.2">
      <c r="B134" s="1">
        <v>134</v>
      </c>
      <c r="C134" s="1">
        <v>136</v>
      </c>
      <c r="D134" s="1">
        <v>0</v>
      </c>
      <c r="E134" s="1">
        <v>168.98127700000001</v>
      </c>
      <c r="F134" s="1">
        <v>9.2330000000000005</v>
      </c>
      <c r="G134" s="1">
        <v>0.122035</v>
      </c>
      <c r="I134" s="1" t="s">
        <v>22</v>
      </c>
      <c r="J134" s="1" t="s">
        <v>114</v>
      </c>
      <c r="K134" s="1" t="s">
        <v>114</v>
      </c>
      <c r="L134" s="1" t="s">
        <v>115</v>
      </c>
      <c r="M134" s="1">
        <v>0.187</v>
      </c>
      <c r="N134" s="1">
        <v>3.160444</v>
      </c>
      <c r="O134" s="1">
        <v>166.975266</v>
      </c>
      <c r="P134" s="2">
        <v>0</v>
      </c>
      <c r="Q134" s="2">
        <v>1247.81</v>
      </c>
      <c r="R134" s="2">
        <v>1902.86</v>
      </c>
      <c r="S134" s="2">
        <v>0</v>
      </c>
      <c r="T134" s="2">
        <v>0</v>
      </c>
      <c r="U134" s="2">
        <v>0</v>
      </c>
      <c r="V134" s="2">
        <v>6343.2</v>
      </c>
      <c r="W134" s="2">
        <v>6163.98</v>
      </c>
      <c r="X134" s="2">
        <v>4603.58</v>
      </c>
      <c r="Y134" s="1">
        <f t="shared" ca="1" si="2"/>
        <v>6282</v>
      </c>
      <c r="Z134" s="1">
        <f t="shared" ca="1" si="2"/>
        <v>6985</v>
      </c>
    </row>
    <row r="135" spans="2:26" x14ac:dyDescent="0.2">
      <c r="B135" s="1">
        <v>134</v>
      </c>
      <c r="C135" s="1">
        <v>137</v>
      </c>
      <c r="D135" s="1">
        <v>0</v>
      </c>
      <c r="E135" s="1">
        <v>169.98516799999999</v>
      </c>
      <c r="F135" s="1">
        <v>9.1809999999999992</v>
      </c>
      <c r="G135" s="1">
        <v>5.7257000000000002E-2</v>
      </c>
      <c r="I135" s="1" t="s">
        <v>23</v>
      </c>
      <c r="J135" s="1" t="s">
        <v>114</v>
      </c>
      <c r="K135" s="1" t="s">
        <v>114</v>
      </c>
      <c r="L135" s="1" t="s">
        <v>115</v>
      </c>
      <c r="M135" s="1">
        <v>0.23899999999999999</v>
      </c>
      <c r="N135" s="1">
        <v>0</v>
      </c>
      <c r="O135" s="1">
        <v>166.975266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5203.59</v>
      </c>
      <c r="X135" s="2">
        <v>0</v>
      </c>
      <c r="Y135" s="1">
        <f t="shared" ca="1" si="2"/>
        <v>7683</v>
      </c>
      <c r="Z135" s="1">
        <f t="shared" ca="1" si="2"/>
        <v>3754</v>
      </c>
    </row>
    <row r="136" spans="2:26" x14ac:dyDescent="0.2">
      <c r="B136" s="1">
        <v>138</v>
      </c>
      <c r="C136" s="1">
        <v>138</v>
      </c>
      <c r="D136" s="1">
        <v>18</v>
      </c>
      <c r="E136" s="1">
        <v>167.02117899999999</v>
      </c>
      <c r="F136" s="1">
        <v>5.4459999999999997</v>
      </c>
      <c r="G136" s="1">
        <v>0.83846100000000001</v>
      </c>
      <c r="H136" s="1" t="s">
        <v>15</v>
      </c>
      <c r="I136" s="1" t="s">
        <v>16</v>
      </c>
      <c r="J136" s="1" t="s">
        <v>116</v>
      </c>
      <c r="K136" s="1" t="s">
        <v>116</v>
      </c>
      <c r="L136" s="1" t="s">
        <v>117</v>
      </c>
      <c r="M136" s="1">
        <v>0.28399999999999997</v>
      </c>
      <c r="N136" s="1">
        <v>0.73086799999999996</v>
      </c>
      <c r="O136" s="1">
        <v>167.02117899999999</v>
      </c>
      <c r="P136" s="2">
        <v>4230307</v>
      </c>
      <c r="Q136" s="2">
        <v>2466743</v>
      </c>
      <c r="R136" s="2">
        <v>4701401.5</v>
      </c>
      <c r="S136" s="2">
        <v>1897745.12</v>
      </c>
      <c r="T136" s="2">
        <v>761650.81</v>
      </c>
      <c r="U136" s="2">
        <v>2685475.75</v>
      </c>
      <c r="V136" s="2">
        <v>314706.21999999997</v>
      </c>
      <c r="W136" s="2">
        <v>300653.21999999997</v>
      </c>
      <c r="X136" s="2">
        <v>5878125.5</v>
      </c>
      <c r="Y136" s="1">
        <f t="shared" ca="1" si="2"/>
        <v>1983</v>
      </c>
      <c r="Z136" s="1">
        <f t="shared" ca="1" si="2"/>
        <v>6460</v>
      </c>
    </row>
    <row r="137" spans="2:26" x14ac:dyDescent="0.2">
      <c r="B137" s="1">
        <v>138</v>
      </c>
      <c r="C137" s="1">
        <v>139</v>
      </c>
      <c r="D137" s="1">
        <v>9</v>
      </c>
      <c r="E137" s="1">
        <v>168.02458200000001</v>
      </c>
      <c r="F137" s="1">
        <v>5.4320000000000004</v>
      </c>
      <c r="G137" s="1">
        <v>0.77964500000000003</v>
      </c>
      <c r="I137" s="1" t="s">
        <v>19</v>
      </c>
      <c r="J137" s="1" t="s">
        <v>116</v>
      </c>
      <c r="K137" s="1" t="s">
        <v>116</v>
      </c>
      <c r="L137" s="1" t="s">
        <v>117</v>
      </c>
      <c r="M137" s="1">
        <v>0.29799999999999999</v>
      </c>
      <c r="N137" s="1">
        <v>0.998942</v>
      </c>
      <c r="O137" s="1">
        <v>167.02117899999999</v>
      </c>
      <c r="P137" s="2">
        <v>196479.35999999999</v>
      </c>
      <c r="Q137" s="2">
        <v>92036.06</v>
      </c>
      <c r="R137" s="2">
        <v>234292.64</v>
      </c>
      <c r="S137" s="2">
        <v>70987.81</v>
      </c>
      <c r="T137" s="2">
        <v>13480.9</v>
      </c>
      <c r="U137" s="2">
        <v>94640.66</v>
      </c>
      <c r="V137" s="2">
        <v>9400.59</v>
      </c>
      <c r="W137" s="2">
        <v>9640.7000000000007</v>
      </c>
      <c r="X137" s="2">
        <v>262980.81</v>
      </c>
      <c r="Y137" s="1">
        <f t="shared" ca="1" si="2"/>
        <v>5518</v>
      </c>
      <c r="Z137" s="1">
        <f t="shared" ca="1" si="2"/>
        <v>4894</v>
      </c>
    </row>
    <row r="138" spans="2:26" x14ac:dyDescent="0.2">
      <c r="B138" s="1">
        <v>140</v>
      </c>
      <c r="C138" s="1">
        <v>140</v>
      </c>
      <c r="D138" s="1">
        <v>6</v>
      </c>
      <c r="E138" s="1">
        <v>168.99087499999999</v>
      </c>
      <c r="F138" s="1">
        <v>8.6129999999999995</v>
      </c>
      <c r="G138" s="1">
        <v>0.84018099999999996</v>
      </c>
      <c r="H138" s="1" t="s">
        <v>15</v>
      </c>
      <c r="I138" s="1" t="s">
        <v>16</v>
      </c>
      <c r="J138" s="1" t="s">
        <v>118</v>
      </c>
      <c r="K138" s="1" t="s">
        <v>118</v>
      </c>
      <c r="L138" s="1" t="s">
        <v>119</v>
      </c>
      <c r="M138" s="1">
        <v>0.26700000000000002</v>
      </c>
      <c r="N138" s="1">
        <v>0.72234900000000002</v>
      </c>
      <c r="O138" s="1">
        <v>168.99087499999999</v>
      </c>
      <c r="P138" s="2">
        <v>2634.93</v>
      </c>
      <c r="Q138" s="2">
        <v>2525.91</v>
      </c>
      <c r="R138" s="2">
        <v>8806.6200000000008</v>
      </c>
      <c r="S138" s="2">
        <v>0</v>
      </c>
      <c r="T138" s="2">
        <v>0</v>
      </c>
      <c r="U138" s="2">
        <v>5838.94</v>
      </c>
      <c r="V138" s="2">
        <v>218810</v>
      </c>
      <c r="W138" s="2">
        <v>82019.33</v>
      </c>
      <c r="X138" s="2">
        <v>104663.06</v>
      </c>
      <c r="Y138" s="1">
        <f t="shared" ca="1" si="2"/>
        <v>2809</v>
      </c>
      <c r="Z138" s="1">
        <f t="shared" ca="1" si="2"/>
        <v>2402</v>
      </c>
    </row>
    <row r="139" spans="2:26" x14ac:dyDescent="0.2">
      <c r="B139" s="1">
        <v>140</v>
      </c>
      <c r="C139" s="1">
        <v>141</v>
      </c>
      <c r="D139" s="1">
        <v>0</v>
      </c>
      <c r="E139" s="1">
        <v>169.994293</v>
      </c>
      <c r="F139" s="1">
        <v>8.6259999999999994</v>
      </c>
      <c r="G139" s="1">
        <v>5.9727000000000002E-2</v>
      </c>
      <c r="I139" s="1" t="s">
        <v>19</v>
      </c>
      <c r="J139" s="1" t="s">
        <v>118</v>
      </c>
      <c r="K139" s="1" t="s">
        <v>118</v>
      </c>
      <c r="L139" s="1" t="s">
        <v>119</v>
      </c>
      <c r="M139" s="1">
        <v>0.254</v>
      </c>
      <c r="N139" s="1">
        <v>1.0771280000000001</v>
      </c>
      <c r="O139" s="1">
        <v>168.99087499999999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7070.28</v>
      </c>
      <c r="W139" s="2">
        <v>2597.5</v>
      </c>
      <c r="X139" s="2">
        <v>0</v>
      </c>
      <c r="Y139" s="1">
        <f t="shared" ca="1" si="2"/>
        <v>3458</v>
      </c>
      <c r="Z139" s="1">
        <f t="shared" ca="1" si="2"/>
        <v>6887</v>
      </c>
    </row>
    <row r="140" spans="2:26" x14ac:dyDescent="0.2">
      <c r="B140" s="1">
        <v>142</v>
      </c>
      <c r="C140" s="1">
        <v>142</v>
      </c>
      <c r="D140" s="1">
        <v>17</v>
      </c>
      <c r="E140" s="1">
        <v>171.006607</v>
      </c>
      <c r="F140" s="1">
        <v>8.6240000000000006</v>
      </c>
      <c r="G140" s="1">
        <v>0.85081700000000005</v>
      </c>
      <c r="H140" s="1" t="s">
        <v>15</v>
      </c>
      <c r="I140" s="1" t="s">
        <v>16</v>
      </c>
      <c r="J140" s="1" t="s">
        <v>120</v>
      </c>
      <c r="K140" s="1" t="s">
        <v>120</v>
      </c>
      <c r="L140" s="1" t="s">
        <v>121</v>
      </c>
      <c r="M140" s="1">
        <v>7.5999999999999998E-2</v>
      </c>
      <c r="N140" s="1">
        <v>1.1599809999999999</v>
      </c>
      <c r="O140" s="1">
        <v>171.006607</v>
      </c>
      <c r="P140" s="2">
        <v>52698.38</v>
      </c>
      <c r="Q140" s="2">
        <v>29200.05</v>
      </c>
      <c r="R140" s="2">
        <v>70482.320000000007</v>
      </c>
      <c r="S140" s="2">
        <v>33410.75</v>
      </c>
      <c r="T140" s="2">
        <v>36115.58</v>
      </c>
      <c r="U140" s="2">
        <v>141902.35999999999</v>
      </c>
      <c r="V140" s="2">
        <v>2587482.25</v>
      </c>
      <c r="W140" s="2">
        <v>1301830.75</v>
      </c>
      <c r="X140" s="2">
        <v>22092082</v>
      </c>
      <c r="Y140" s="1">
        <f t="shared" ca="1" si="2"/>
        <v>4193</v>
      </c>
      <c r="Z140" s="1">
        <f t="shared" ca="1" si="2"/>
        <v>3634</v>
      </c>
    </row>
    <row r="141" spans="2:26" x14ac:dyDescent="0.2">
      <c r="B141" s="1">
        <v>142</v>
      </c>
      <c r="C141" s="1">
        <v>143</v>
      </c>
      <c r="D141" s="1">
        <v>4</v>
      </c>
      <c r="E141" s="1">
        <v>172.009872</v>
      </c>
      <c r="F141" s="1">
        <v>8.6199999999999992</v>
      </c>
      <c r="G141" s="1">
        <v>0.81621999999999995</v>
      </c>
      <c r="I141" s="1" t="s">
        <v>19</v>
      </c>
      <c r="J141" s="1" t="s">
        <v>120</v>
      </c>
      <c r="K141" s="1" t="s">
        <v>120</v>
      </c>
      <c r="L141" s="1" t="s">
        <v>121</v>
      </c>
      <c r="M141" s="1">
        <v>0.08</v>
      </c>
      <c r="N141" s="1">
        <v>0.70967100000000005</v>
      </c>
      <c r="O141" s="1">
        <v>171.006607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4131.9799999999996</v>
      </c>
      <c r="V141" s="2">
        <v>66983.850000000006</v>
      </c>
      <c r="W141" s="2">
        <v>36116.51</v>
      </c>
      <c r="X141" s="2">
        <v>760286.94</v>
      </c>
      <c r="Y141" s="1">
        <f t="shared" ca="1" si="2"/>
        <v>6668</v>
      </c>
      <c r="Z141" s="1">
        <f t="shared" ca="1" si="2"/>
        <v>3809</v>
      </c>
    </row>
    <row r="142" spans="2:26" x14ac:dyDescent="0.2">
      <c r="B142" s="1">
        <v>142</v>
      </c>
      <c r="C142" s="1">
        <v>144</v>
      </c>
      <c r="D142" s="1">
        <v>1</v>
      </c>
      <c r="E142" s="1">
        <v>173.013138</v>
      </c>
      <c r="F142" s="1">
        <v>8.6280000000000001</v>
      </c>
      <c r="G142" s="1">
        <v>0.69198800000000005</v>
      </c>
      <c r="I142" s="1" t="s">
        <v>22</v>
      </c>
      <c r="J142" s="1" t="s">
        <v>120</v>
      </c>
      <c r="K142" s="1" t="s">
        <v>120</v>
      </c>
      <c r="L142" s="1" t="s">
        <v>121</v>
      </c>
      <c r="M142" s="1">
        <v>7.1999999999999995E-2</v>
      </c>
      <c r="N142" s="1">
        <v>0.17638899999999999</v>
      </c>
      <c r="O142" s="1">
        <v>171.006607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32398.560000000001</v>
      </c>
      <c r="Y142" s="1">
        <f t="shared" ca="1" si="2"/>
        <v>3918</v>
      </c>
      <c r="Z142" s="1">
        <f t="shared" ca="1" si="2"/>
        <v>7967</v>
      </c>
    </row>
    <row r="143" spans="2:26" x14ac:dyDescent="0.2">
      <c r="B143" s="1">
        <v>142</v>
      </c>
      <c r="C143" s="1">
        <v>145</v>
      </c>
      <c r="D143" s="1">
        <v>1</v>
      </c>
      <c r="E143" s="1">
        <v>174.01644899999999</v>
      </c>
      <c r="F143" s="1">
        <v>8.641</v>
      </c>
      <c r="G143" s="1">
        <v>0.79726600000000003</v>
      </c>
      <c r="I143" s="1" t="s">
        <v>23</v>
      </c>
      <c r="J143" s="1" t="s">
        <v>120</v>
      </c>
      <c r="K143" s="1" t="s">
        <v>120</v>
      </c>
      <c r="L143" s="1" t="s">
        <v>121</v>
      </c>
      <c r="M143" s="1">
        <v>5.8999999999999997E-2</v>
      </c>
      <c r="N143" s="1">
        <v>8.7686E-2</v>
      </c>
      <c r="O143" s="1">
        <v>171.006607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26573.89</v>
      </c>
      <c r="X143" s="2">
        <v>215577.08</v>
      </c>
      <c r="Y143" s="1">
        <f t="shared" ca="1" si="2"/>
        <v>7830</v>
      </c>
      <c r="Z143" s="1">
        <f t="shared" ca="1" si="2"/>
        <v>4999</v>
      </c>
    </row>
    <row r="144" spans="2:26" x14ac:dyDescent="0.2">
      <c r="B144" s="1">
        <v>146</v>
      </c>
      <c r="C144" s="1">
        <v>146</v>
      </c>
      <c r="D144" s="1">
        <v>17</v>
      </c>
      <c r="E144" s="1">
        <v>172.098083</v>
      </c>
      <c r="F144" s="1">
        <v>2.2309999999999999</v>
      </c>
      <c r="G144" s="1">
        <v>0.84632600000000002</v>
      </c>
      <c r="H144" s="1" t="s">
        <v>15</v>
      </c>
      <c r="I144" s="1" t="s">
        <v>16</v>
      </c>
      <c r="J144" s="1" t="s">
        <v>122</v>
      </c>
      <c r="K144" s="1" t="s">
        <v>122</v>
      </c>
      <c r="L144" s="1" t="s">
        <v>123</v>
      </c>
      <c r="M144" s="1">
        <v>5.8999999999999997E-2</v>
      </c>
      <c r="N144" s="1">
        <v>0.975298</v>
      </c>
      <c r="O144" s="1">
        <v>172.098083</v>
      </c>
      <c r="P144" s="2">
        <v>285136.15999999997</v>
      </c>
      <c r="Q144" s="2">
        <v>574784.56000000006</v>
      </c>
      <c r="R144" s="2">
        <v>170740.58</v>
      </c>
      <c r="S144" s="2">
        <v>208724.83</v>
      </c>
      <c r="T144" s="2">
        <v>215104.39</v>
      </c>
      <c r="U144" s="2">
        <v>333177.94</v>
      </c>
      <c r="V144" s="2">
        <v>10277.030000000001</v>
      </c>
      <c r="W144" s="2">
        <v>33958.99</v>
      </c>
      <c r="X144" s="2">
        <v>80506.38</v>
      </c>
      <c r="Y144" s="1">
        <f t="shared" ca="1" si="2"/>
        <v>3786</v>
      </c>
      <c r="Z144" s="1">
        <f t="shared" ca="1" si="2"/>
        <v>6455</v>
      </c>
    </row>
    <row r="145" spans="2:26" x14ac:dyDescent="0.2">
      <c r="B145" s="1">
        <v>146</v>
      </c>
      <c r="C145" s="1">
        <v>147</v>
      </c>
      <c r="D145" s="1">
        <v>6</v>
      </c>
      <c r="E145" s="1">
        <v>173.10136399999999</v>
      </c>
      <c r="F145" s="1">
        <v>2.2170000000000001</v>
      </c>
      <c r="G145" s="1">
        <v>0.78517199999999998</v>
      </c>
      <c r="I145" s="1" t="s">
        <v>19</v>
      </c>
      <c r="J145" s="1" t="s">
        <v>122</v>
      </c>
      <c r="K145" s="1" t="s">
        <v>122</v>
      </c>
      <c r="L145" s="1" t="s">
        <v>123</v>
      </c>
      <c r="M145" s="1">
        <v>7.2999999999999995E-2</v>
      </c>
      <c r="N145" s="1">
        <v>0.52889699999999995</v>
      </c>
      <c r="O145" s="1">
        <v>172.098083</v>
      </c>
      <c r="P145" s="2">
        <v>27182.91</v>
      </c>
      <c r="Q145" s="2">
        <v>46685.56</v>
      </c>
      <c r="R145" s="2">
        <v>15436.63</v>
      </c>
      <c r="S145" s="2">
        <v>10390.94</v>
      </c>
      <c r="T145" s="2">
        <v>14965</v>
      </c>
      <c r="U145" s="2">
        <v>23300.29</v>
      </c>
      <c r="V145" s="2">
        <v>0</v>
      </c>
      <c r="W145" s="2">
        <v>0</v>
      </c>
      <c r="X145" s="2">
        <v>0</v>
      </c>
      <c r="Y145" s="1">
        <f t="shared" ca="1" si="2"/>
        <v>3402</v>
      </c>
      <c r="Z145" s="1">
        <f t="shared" ca="1" si="2"/>
        <v>1335</v>
      </c>
    </row>
    <row r="146" spans="2:26" x14ac:dyDescent="0.2">
      <c r="B146" s="1">
        <v>148</v>
      </c>
      <c r="C146" s="1">
        <v>148</v>
      </c>
      <c r="D146" s="1">
        <v>4</v>
      </c>
      <c r="E146" s="1">
        <v>173.05677800000001</v>
      </c>
      <c r="F146" s="1">
        <v>5.4</v>
      </c>
      <c r="G146" s="1">
        <v>0.85124100000000003</v>
      </c>
      <c r="H146" s="1" t="s">
        <v>15</v>
      </c>
      <c r="I146" s="1" t="s">
        <v>16</v>
      </c>
      <c r="J146" s="1" t="s">
        <v>124</v>
      </c>
      <c r="K146" s="1" t="s">
        <v>124</v>
      </c>
      <c r="L146" s="1" t="s">
        <v>125</v>
      </c>
      <c r="M146" s="1">
        <v>0.22</v>
      </c>
      <c r="N146" s="1">
        <v>0</v>
      </c>
      <c r="O146" s="1">
        <v>173.05677800000001</v>
      </c>
      <c r="P146" s="2">
        <v>34015.550000000003</v>
      </c>
      <c r="Q146" s="2">
        <v>62999.47</v>
      </c>
      <c r="R146" s="2">
        <v>17793.59</v>
      </c>
      <c r="S146" s="2">
        <v>7126.25</v>
      </c>
      <c r="T146" s="2">
        <v>8530.85</v>
      </c>
      <c r="U146" s="2">
        <v>20549.150000000001</v>
      </c>
      <c r="V146" s="2">
        <v>0</v>
      </c>
      <c r="W146" s="2">
        <v>5142.32</v>
      </c>
      <c r="X146" s="2">
        <v>11049.7</v>
      </c>
      <c r="Y146" s="1">
        <f t="shared" ca="1" si="2"/>
        <v>5935</v>
      </c>
      <c r="Z146" s="1">
        <f t="shared" ca="1" si="2"/>
        <v>3348</v>
      </c>
    </row>
    <row r="147" spans="2:26" x14ac:dyDescent="0.2">
      <c r="B147" s="1">
        <v>148</v>
      </c>
      <c r="C147" s="1">
        <v>149</v>
      </c>
      <c r="D147" s="1">
        <v>1</v>
      </c>
      <c r="E147" s="1">
        <v>179.07659899999999</v>
      </c>
      <c r="F147" s="1">
        <v>5.4889999999999999</v>
      </c>
      <c r="G147" s="1">
        <v>0.71899800000000003</v>
      </c>
      <c r="I147" s="1" t="s">
        <v>90</v>
      </c>
      <c r="J147" s="1" t="s">
        <v>124</v>
      </c>
      <c r="K147" s="1" t="s">
        <v>124</v>
      </c>
      <c r="L147" s="1" t="s">
        <v>125</v>
      </c>
      <c r="M147" s="1">
        <v>0.13100000000000001</v>
      </c>
      <c r="N147" s="1">
        <v>1.7041599999999999</v>
      </c>
      <c r="O147" s="1">
        <v>173.05677800000001</v>
      </c>
      <c r="P147" s="2">
        <v>0</v>
      </c>
      <c r="Q147" s="2">
        <v>14294.97</v>
      </c>
      <c r="R147" s="2">
        <v>0</v>
      </c>
      <c r="S147" s="2">
        <v>0</v>
      </c>
      <c r="T147" s="2">
        <v>0</v>
      </c>
      <c r="U147" s="2">
        <v>67741.63</v>
      </c>
      <c r="V147" s="2">
        <v>0</v>
      </c>
      <c r="W147" s="2">
        <v>0</v>
      </c>
      <c r="X147" s="2">
        <v>73714.570000000007</v>
      </c>
      <c r="Y147" s="1">
        <f t="shared" ca="1" si="2"/>
        <v>1319</v>
      </c>
      <c r="Z147" s="1">
        <f t="shared" ca="1" si="2"/>
        <v>6746</v>
      </c>
    </row>
    <row r="148" spans="2:26" x14ac:dyDescent="0.2">
      <c r="B148" s="1">
        <v>150</v>
      </c>
      <c r="C148" s="1">
        <v>150</v>
      </c>
      <c r="D148" s="1">
        <v>18</v>
      </c>
      <c r="E148" s="1">
        <v>173.104523</v>
      </c>
      <c r="F148" s="1">
        <v>13.195</v>
      </c>
      <c r="G148" s="1">
        <v>0.822654</v>
      </c>
      <c r="H148" s="1" t="s">
        <v>15</v>
      </c>
      <c r="I148" s="1" t="s">
        <v>16</v>
      </c>
      <c r="J148" s="1" t="s">
        <v>126</v>
      </c>
      <c r="K148" s="1" t="s">
        <v>126</v>
      </c>
      <c r="L148" s="1" t="s">
        <v>127</v>
      </c>
      <c r="M148" s="1">
        <v>0.30499999999999999</v>
      </c>
      <c r="N148" s="1">
        <v>0.705183</v>
      </c>
      <c r="O148" s="1">
        <v>173.104523</v>
      </c>
      <c r="P148" s="2">
        <v>3330349.25</v>
      </c>
      <c r="Q148" s="2">
        <v>1649824</v>
      </c>
      <c r="R148" s="2">
        <v>2984786</v>
      </c>
      <c r="S148" s="2">
        <v>1598260.62</v>
      </c>
      <c r="T148" s="2">
        <v>2163210.75</v>
      </c>
      <c r="U148" s="2">
        <v>3266846.25</v>
      </c>
      <c r="V148" s="2">
        <v>604742.06000000006</v>
      </c>
      <c r="W148" s="2">
        <v>961383.5</v>
      </c>
      <c r="X148" s="2">
        <v>44426.64</v>
      </c>
      <c r="Y148" s="1">
        <f t="shared" ca="1" si="2"/>
        <v>4975</v>
      </c>
      <c r="Z148" s="1">
        <f t="shared" ca="1" si="2"/>
        <v>4393</v>
      </c>
    </row>
    <row r="149" spans="2:26" x14ac:dyDescent="0.2">
      <c r="B149" s="1">
        <v>150</v>
      </c>
      <c r="C149" s="1">
        <v>151</v>
      </c>
      <c r="D149" s="1">
        <v>15</v>
      </c>
      <c r="E149" s="1">
        <v>174.10784899999999</v>
      </c>
      <c r="F149" s="1">
        <v>13.206</v>
      </c>
      <c r="G149" s="1">
        <v>0.76580300000000001</v>
      </c>
      <c r="I149" s="1" t="s">
        <v>19</v>
      </c>
      <c r="J149" s="1" t="s">
        <v>126</v>
      </c>
      <c r="K149" s="1" t="s">
        <v>126</v>
      </c>
      <c r="L149" s="1" t="s">
        <v>127</v>
      </c>
      <c r="M149" s="1">
        <v>0.29399999999999998</v>
      </c>
      <c r="N149" s="1">
        <v>0.52583999999999997</v>
      </c>
      <c r="O149" s="1">
        <v>173.104523</v>
      </c>
      <c r="P149" s="2">
        <v>177278.33</v>
      </c>
      <c r="Q149" s="2">
        <v>85127.41</v>
      </c>
      <c r="R149" s="2">
        <v>174192.62</v>
      </c>
      <c r="S149" s="2">
        <v>86483.34</v>
      </c>
      <c r="T149" s="2">
        <v>117681.54</v>
      </c>
      <c r="U149" s="2">
        <v>189860.25</v>
      </c>
      <c r="V149" s="2">
        <v>24943.22</v>
      </c>
      <c r="W149" s="2">
        <v>54592.97</v>
      </c>
      <c r="X149" s="2">
        <v>4570.91</v>
      </c>
      <c r="Y149" s="1">
        <f t="shared" ca="1" si="2"/>
        <v>1163</v>
      </c>
      <c r="Z149" s="1">
        <f t="shared" ca="1" si="2"/>
        <v>4002</v>
      </c>
    </row>
    <row r="150" spans="2:26" x14ac:dyDescent="0.2">
      <c r="B150" s="1">
        <v>150</v>
      </c>
      <c r="C150" s="1">
        <v>152</v>
      </c>
      <c r="D150" s="1">
        <v>0</v>
      </c>
      <c r="E150" s="1">
        <v>175.11125200000001</v>
      </c>
      <c r="F150" s="1">
        <v>13.271000000000001</v>
      </c>
      <c r="G150" s="1">
        <v>0.48758699999999999</v>
      </c>
      <c r="I150" s="1" t="s">
        <v>22</v>
      </c>
      <c r="J150" s="1" t="s">
        <v>126</v>
      </c>
      <c r="K150" s="1" t="s">
        <v>126</v>
      </c>
      <c r="L150" s="1" t="s">
        <v>127</v>
      </c>
      <c r="M150" s="1">
        <v>0.22900000000000001</v>
      </c>
      <c r="N150" s="1">
        <v>0.78424000000000005</v>
      </c>
      <c r="O150" s="1">
        <v>173.104523</v>
      </c>
      <c r="P150" s="2">
        <v>5409.58</v>
      </c>
      <c r="Q150" s="2">
        <v>1896.25</v>
      </c>
      <c r="R150" s="2">
        <v>2090.38</v>
      </c>
      <c r="S150" s="2">
        <v>1502.15</v>
      </c>
      <c r="T150" s="2">
        <v>1518.34</v>
      </c>
      <c r="U150" s="2">
        <v>6083.73</v>
      </c>
      <c r="V150" s="2">
        <v>0</v>
      </c>
      <c r="W150" s="2">
        <v>1863.86</v>
      </c>
      <c r="X150" s="2">
        <v>0</v>
      </c>
      <c r="Y150" s="1">
        <f t="shared" ca="1" si="2"/>
        <v>2502</v>
      </c>
      <c r="Z150" s="1">
        <f t="shared" ca="1" si="2"/>
        <v>3224</v>
      </c>
    </row>
    <row r="151" spans="2:26" x14ac:dyDescent="0.2">
      <c r="B151" s="1">
        <v>153</v>
      </c>
      <c r="C151" s="1">
        <v>153</v>
      </c>
      <c r="D151" s="1">
        <v>18</v>
      </c>
      <c r="E151" s="1">
        <v>174.08854700000001</v>
      </c>
      <c r="F151" s="1">
        <v>7.67</v>
      </c>
      <c r="G151" s="1">
        <v>0.85324299999999997</v>
      </c>
      <c r="H151" s="1" t="s">
        <v>15</v>
      </c>
      <c r="I151" s="1" t="s">
        <v>16</v>
      </c>
      <c r="J151" s="1" t="s">
        <v>128</v>
      </c>
      <c r="K151" s="1" t="s">
        <v>128</v>
      </c>
      <c r="L151" s="1" t="s">
        <v>129</v>
      </c>
      <c r="M151" s="1">
        <v>0.27</v>
      </c>
      <c r="N151" s="1">
        <v>0.78884699999999996</v>
      </c>
      <c r="O151" s="1">
        <v>174.08854700000001</v>
      </c>
      <c r="P151" s="2">
        <v>2468427.75</v>
      </c>
      <c r="Q151" s="2">
        <v>791886.56</v>
      </c>
      <c r="R151" s="2">
        <v>2610233.75</v>
      </c>
      <c r="S151" s="2">
        <v>1468369.5</v>
      </c>
      <c r="T151" s="2">
        <v>2249869.25</v>
      </c>
      <c r="U151" s="2">
        <v>3571247.75</v>
      </c>
      <c r="V151" s="2">
        <v>1851909.38</v>
      </c>
      <c r="W151" s="2">
        <v>2635567.25</v>
      </c>
      <c r="X151" s="2">
        <v>304773.46999999997</v>
      </c>
      <c r="Y151" s="1">
        <f t="shared" ca="1" si="2"/>
        <v>3737</v>
      </c>
      <c r="Z151" s="1">
        <f t="shared" ca="1" si="2"/>
        <v>3797</v>
      </c>
    </row>
    <row r="152" spans="2:26" x14ac:dyDescent="0.2">
      <c r="B152" s="1">
        <v>153</v>
      </c>
      <c r="C152" s="1">
        <v>154</v>
      </c>
      <c r="D152" s="1">
        <v>17</v>
      </c>
      <c r="E152" s="1">
        <v>175.09187299999999</v>
      </c>
      <c r="F152" s="1">
        <v>7.673</v>
      </c>
      <c r="G152" s="1">
        <v>0.83094299999999999</v>
      </c>
      <c r="I152" s="1" t="s">
        <v>19</v>
      </c>
      <c r="J152" s="1" t="s">
        <v>128</v>
      </c>
      <c r="K152" s="1" t="s">
        <v>128</v>
      </c>
      <c r="L152" s="1" t="s">
        <v>129</v>
      </c>
      <c r="M152" s="1">
        <v>0.26700000000000002</v>
      </c>
      <c r="N152" s="1">
        <v>0.61003200000000002</v>
      </c>
      <c r="O152" s="1">
        <v>174.08854700000001</v>
      </c>
      <c r="P152" s="2">
        <v>127146.71</v>
      </c>
      <c r="Q152" s="2">
        <v>43673.4</v>
      </c>
      <c r="R152" s="2">
        <v>128720.99</v>
      </c>
      <c r="S152" s="2">
        <v>80111.179999999993</v>
      </c>
      <c r="T152" s="2">
        <v>125180.12</v>
      </c>
      <c r="U152" s="2">
        <v>208936.77</v>
      </c>
      <c r="V152" s="2">
        <v>94692.59</v>
      </c>
      <c r="W152" s="2">
        <v>132880.10999999999</v>
      </c>
      <c r="X152" s="2">
        <v>27094.79</v>
      </c>
      <c r="Y152" s="1">
        <f t="shared" ca="1" si="2"/>
        <v>4777</v>
      </c>
      <c r="Z152" s="1">
        <f t="shared" ca="1" si="2"/>
        <v>7018</v>
      </c>
    </row>
    <row r="153" spans="2:26" x14ac:dyDescent="0.2">
      <c r="B153" s="1">
        <v>153</v>
      </c>
      <c r="C153" s="1">
        <v>155</v>
      </c>
      <c r="D153" s="1">
        <v>0</v>
      </c>
      <c r="E153" s="1">
        <v>176.095337</v>
      </c>
      <c r="F153" s="1">
        <v>7.6769999999999996</v>
      </c>
      <c r="G153" s="1">
        <v>0.20572799999999999</v>
      </c>
      <c r="I153" s="1" t="s">
        <v>22</v>
      </c>
      <c r="J153" s="1" t="s">
        <v>128</v>
      </c>
      <c r="K153" s="1" t="s">
        <v>128</v>
      </c>
      <c r="L153" s="1" t="s">
        <v>129</v>
      </c>
      <c r="M153" s="1">
        <v>0.26300000000000001</v>
      </c>
      <c r="N153" s="1">
        <v>1.213112</v>
      </c>
      <c r="O153" s="1">
        <v>174.08854700000001</v>
      </c>
      <c r="P153" s="2">
        <v>0</v>
      </c>
      <c r="Q153" s="2">
        <v>0</v>
      </c>
      <c r="R153" s="2">
        <v>2831.48</v>
      </c>
      <c r="S153" s="2">
        <v>0</v>
      </c>
      <c r="T153" s="2">
        <v>7643.18</v>
      </c>
      <c r="U153" s="2">
        <v>10732.19</v>
      </c>
      <c r="V153" s="2">
        <v>0</v>
      </c>
      <c r="W153" s="2">
        <v>0</v>
      </c>
      <c r="X153" s="2">
        <v>0</v>
      </c>
      <c r="Y153" s="1">
        <f t="shared" ca="1" si="2"/>
        <v>7656</v>
      </c>
      <c r="Z153" s="1">
        <f t="shared" ca="1" si="2"/>
        <v>2919</v>
      </c>
    </row>
    <row r="154" spans="2:26" x14ac:dyDescent="0.2">
      <c r="B154" s="1">
        <v>156</v>
      </c>
      <c r="C154" s="1">
        <v>156</v>
      </c>
      <c r="D154" s="1">
        <v>16</v>
      </c>
      <c r="E154" s="1">
        <v>177.04057299999999</v>
      </c>
      <c r="F154" s="1">
        <v>2.7480000000000002</v>
      </c>
      <c r="G154" s="1">
        <v>0.85208200000000001</v>
      </c>
      <c r="H154" s="1" t="s">
        <v>15</v>
      </c>
      <c r="I154" s="1" t="s">
        <v>16</v>
      </c>
      <c r="J154" s="1" t="s">
        <v>130</v>
      </c>
      <c r="K154" s="1" t="s">
        <v>130</v>
      </c>
      <c r="L154" s="1" t="s">
        <v>131</v>
      </c>
      <c r="M154" s="1">
        <v>0.318</v>
      </c>
      <c r="N154" s="1">
        <v>0.60331699999999999</v>
      </c>
      <c r="O154" s="1">
        <v>177.04057299999999</v>
      </c>
      <c r="P154" s="2">
        <v>89532.79</v>
      </c>
      <c r="Q154" s="2">
        <v>46784.33</v>
      </c>
      <c r="R154" s="2">
        <v>123168.32000000001</v>
      </c>
      <c r="S154" s="2">
        <v>131708.67000000001</v>
      </c>
      <c r="T154" s="2">
        <v>267942.69</v>
      </c>
      <c r="U154" s="2">
        <v>294855.90999999997</v>
      </c>
      <c r="V154" s="2">
        <v>25950.959999999999</v>
      </c>
      <c r="W154" s="2">
        <v>27023.4</v>
      </c>
      <c r="X154" s="2">
        <v>350302.88</v>
      </c>
      <c r="Y154" s="1">
        <f t="shared" ca="1" si="2"/>
        <v>5641</v>
      </c>
      <c r="Z154" s="1">
        <f t="shared" ca="1" si="2"/>
        <v>5697</v>
      </c>
    </row>
    <row r="155" spans="2:26" x14ac:dyDescent="0.2">
      <c r="B155" s="1">
        <v>156</v>
      </c>
      <c r="C155" s="1">
        <v>157</v>
      </c>
      <c r="D155" s="1">
        <v>1</v>
      </c>
      <c r="E155" s="1">
        <v>178.04399100000001</v>
      </c>
      <c r="F155" s="1">
        <v>2.7480000000000002</v>
      </c>
      <c r="G155" s="1">
        <v>0.58270200000000005</v>
      </c>
      <c r="I155" s="1" t="s">
        <v>19</v>
      </c>
      <c r="J155" s="1" t="s">
        <v>130</v>
      </c>
      <c r="K155" s="1" t="s">
        <v>130</v>
      </c>
      <c r="L155" s="1" t="s">
        <v>131</v>
      </c>
      <c r="M155" s="1">
        <v>0.318</v>
      </c>
      <c r="N155" s="1">
        <v>0.94272699999999998</v>
      </c>
      <c r="O155" s="1">
        <v>177.04057299999999</v>
      </c>
      <c r="P155" s="2">
        <v>0</v>
      </c>
      <c r="Q155" s="2">
        <v>0</v>
      </c>
      <c r="R155" s="2">
        <v>7651.3</v>
      </c>
      <c r="S155" s="2">
        <v>5302.09</v>
      </c>
      <c r="T155" s="2">
        <v>16169.14</v>
      </c>
      <c r="U155" s="2">
        <v>6384.02</v>
      </c>
      <c r="V155" s="2">
        <v>0</v>
      </c>
      <c r="W155" s="2">
        <v>0</v>
      </c>
      <c r="X155" s="2">
        <v>19049.55</v>
      </c>
      <c r="Y155" s="1">
        <f t="shared" ca="1" si="2"/>
        <v>3412</v>
      </c>
      <c r="Z155" s="1">
        <f t="shared" ca="1" si="2"/>
        <v>1293</v>
      </c>
    </row>
    <row r="156" spans="2:26" x14ac:dyDescent="0.2">
      <c r="B156" s="1">
        <v>156</v>
      </c>
      <c r="C156" s="1">
        <v>158</v>
      </c>
      <c r="D156" s="1">
        <v>0</v>
      </c>
      <c r="E156" s="1">
        <v>183.061249</v>
      </c>
      <c r="F156" s="1">
        <v>2.7309999999999999</v>
      </c>
      <c r="G156" s="1">
        <v>5.9561000000000003E-2</v>
      </c>
      <c r="I156" s="1" t="s">
        <v>90</v>
      </c>
      <c r="J156" s="1" t="s">
        <v>130</v>
      </c>
      <c r="K156" s="1" t="s">
        <v>130</v>
      </c>
      <c r="L156" s="1" t="s">
        <v>131</v>
      </c>
      <c r="M156" s="1">
        <v>0.30099999999999999</v>
      </c>
      <c r="N156" s="1">
        <v>3.584212</v>
      </c>
      <c r="O156" s="1">
        <v>177.04057299999999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4212.04</v>
      </c>
      <c r="V156" s="2">
        <v>0</v>
      </c>
      <c r="W156" s="2">
        <v>0</v>
      </c>
      <c r="X156" s="2">
        <v>0</v>
      </c>
      <c r="Y156" s="1">
        <f t="shared" ca="1" si="2"/>
        <v>2040</v>
      </c>
      <c r="Z156" s="1">
        <f t="shared" ca="1" si="2"/>
        <v>5219</v>
      </c>
    </row>
    <row r="157" spans="2:26" x14ac:dyDescent="0.2">
      <c r="B157" s="1">
        <v>159</v>
      </c>
      <c r="C157" s="1">
        <v>159</v>
      </c>
      <c r="D157" s="1">
        <v>18</v>
      </c>
      <c r="E157" s="1">
        <v>178.051132</v>
      </c>
      <c r="F157" s="1">
        <v>2.157</v>
      </c>
      <c r="G157" s="1">
        <v>0.83657599999999999</v>
      </c>
      <c r="H157" s="1" t="s">
        <v>15</v>
      </c>
      <c r="I157" s="1" t="s">
        <v>16</v>
      </c>
      <c r="J157" s="1" t="s">
        <v>132</v>
      </c>
      <c r="K157" s="1" t="s">
        <v>132</v>
      </c>
      <c r="L157" s="1" t="s">
        <v>133</v>
      </c>
      <c r="M157" s="1">
        <v>8.3000000000000004E-2</v>
      </c>
      <c r="N157" s="1">
        <v>0.942689</v>
      </c>
      <c r="O157" s="1">
        <v>178.051132</v>
      </c>
      <c r="P157" s="2">
        <v>9970501</v>
      </c>
      <c r="Q157" s="2">
        <v>16157640</v>
      </c>
      <c r="R157" s="2">
        <v>6280657.5</v>
      </c>
      <c r="S157" s="2">
        <v>3508323</v>
      </c>
      <c r="T157" s="2">
        <v>3469871.25</v>
      </c>
      <c r="U157" s="2">
        <v>4817409.5</v>
      </c>
      <c r="V157" s="2">
        <v>208929.3</v>
      </c>
      <c r="W157" s="2">
        <v>270739.09000000003</v>
      </c>
      <c r="X157" s="2">
        <v>448000.91</v>
      </c>
      <c r="Y157" s="1">
        <f t="shared" ca="1" si="2"/>
        <v>5666</v>
      </c>
      <c r="Z157" s="1">
        <f t="shared" ca="1" si="2"/>
        <v>6878</v>
      </c>
    </row>
    <row r="158" spans="2:26" x14ac:dyDescent="0.2">
      <c r="B158" s="1">
        <v>159</v>
      </c>
      <c r="C158" s="1">
        <v>160</v>
      </c>
      <c r="D158" s="1">
        <v>17</v>
      </c>
      <c r="E158" s="1">
        <v>179.05444299999999</v>
      </c>
      <c r="F158" s="1">
        <v>2.153</v>
      </c>
      <c r="G158" s="1">
        <v>0.83736900000000003</v>
      </c>
      <c r="I158" s="1" t="s">
        <v>19</v>
      </c>
      <c r="J158" s="1" t="s">
        <v>132</v>
      </c>
      <c r="K158" s="1" t="s">
        <v>132</v>
      </c>
      <c r="L158" s="1" t="s">
        <v>133</v>
      </c>
      <c r="M158" s="1">
        <v>8.6999999999999994E-2</v>
      </c>
      <c r="N158" s="1">
        <v>0.68174999999999997</v>
      </c>
      <c r="O158" s="1">
        <v>178.051132</v>
      </c>
      <c r="P158" s="2">
        <v>943323.31</v>
      </c>
      <c r="Q158" s="2">
        <v>1559703.62</v>
      </c>
      <c r="R158" s="2">
        <v>559335</v>
      </c>
      <c r="S158" s="2">
        <v>293386.34000000003</v>
      </c>
      <c r="T158" s="2">
        <v>280928.09000000003</v>
      </c>
      <c r="U158" s="2">
        <v>411032.59</v>
      </c>
      <c r="V158" s="2">
        <v>19915.96</v>
      </c>
      <c r="W158" s="2">
        <v>20185.88</v>
      </c>
      <c r="X158" s="2">
        <v>38257.17</v>
      </c>
      <c r="Y158" s="1">
        <f t="shared" ca="1" si="2"/>
        <v>5640</v>
      </c>
      <c r="Z158" s="1">
        <f t="shared" ca="1" si="2"/>
        <v>5165</v>
      </c>
    </row>
    <row r="159" spans="2:26" x14ac:dyDescent="0.2">
      <c r="B159" s="1">
        <v>159</v>
      </c>
      <c r="C159" s="1">
        <v>161</v>
      </c>
      <c r="D159" s="1">
        <v>7</v>
      </c>
      <c r="E159" s="1">
        <v>180.05779999999999</v>
      </c>
      <c r="F159" s="1">
        <v>2.1419999999999999</v>
      </c>
      <c r="G159" s="1">
        <v>0.81871300000000002</v>
      </c>
      <c r="I159" s="1" t="s">
        <v>22</v>
      </c>
      <c r="J159" s="1" t="s">
        <v>132</v>
      </c>
      <c r="K159" s="1" t="s">
        <v>132</v>
      </c>
      <c r="L159" s="1" t="s">
        <v>133</v>
      </c>
      <c r="M159" s="1">
        <v>9.8000000000000004E-2</v>
      </c>
      <c r="N159" s="1">
        <v>0.67795099999999997</v>
      </c>
      <c r="O159" s="1">
        <v>178.051132</v>
      </c>
      <c r="P159" s="2">
        <v>25441.18</v>
      </c>
      <c r="Q159" s="2">
        <v>47811.96</v>
      </c>
      <c r="R159" s="2">
        <v>11429.92</v>
      </c>
      <c r="S159" s="2">
        <v>14212.54</v>
      </c>
      <c r="T159" s="2">
        <v>14722.25</v>
      </c>
      <c r="U159" s="2">
        <v>16347.55</v>
      </c>
      <c r="V159" s="2">
        <v>0</v>
      </c>
      <c r="W159" s="2">
        <v>0</v>
      </c>
      <c r="X159" s="2">
        <v>2161.5500000000002</v>
      </c>
      <c r="Y159" s="1">
        <f t="shared" ca="1" si="2"/>
        <v>1963</v>
      </c>
      <c r="Z159" s="1">
        <f t="shared" ca="1" si="2"/>
        <v>1078</v>
      </c>
    </row>
    <row r="160" spans="2:26" x14ac:dyDescent="0.2">
      <c r="B160" s="1">
        <v>159</v>
      </c>
      <c r="C160" s="1">
        <v>162</v>
      </c>
      <c r="D160" s="1">
        <v>0</v>
      </c>
      <c r="E160" s="1">
        <v>183.06686400000001</v>
      </c>
      <c r="F160" s="1">
        <v>2.2360000000000002</v>
      </c>
      <c r="G160" s="1">
        <v>5.5910000000000001E-2</v>
      </c>
      <c r="I160" s="1" t="s">
        <v>48</v>
      </c>
      <c r="J160" s="1" t="s">
        <v>132</v>
      </c>
      <c r="K160" s="1" t="s">
        <v>132</v>
      </c>
      <c r="L160" s="1" t="s">
        <v>133</v>
      </c>
      <c r="M160" s="1">
        <v>4.0000000000000001E-3</v>
      </c>
      <c r="N160" s="1">
        <v>4.7509790000000001</v>
      </c>
      <c r="O160" s="1">
        <v>178.051132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1">
        <f t="shared" ca="1" si="2"/>
        <v>7707</v>
      </c>
      <c r="Z160" s="1">
        <f t="shared" ca="1" si="2"/>
        <v>5114</v>
      </c>
    </row>
    <row r="161" spans="2:26" x14ac:dyDescent="0.2">
      <c r="B161" s="1">
        <v>163</v>
      </c>
      <c r="C161" s="1">
        <v>163</v>
      </c>
      <c r="D161" s="1">
        <v>18</v>
      </c>
      <c r="E161" s="1">
        <v>179.05625900000001</v>
      </c>
      <c r="F161" s="1">
        <v>5.532</v>
      </c>
      <c r="G161" s="1">
        <v>0.83832799999999996</v>
      </c>
      <c r="H161" s="1" t="s">
        <v>15</v>
      </c>
      <c r="I161" s="1" t="s">
        <v>16</v>
      </c>
      <c r="J161" s="1" t="s">
        <v>134</v>
      </c>
      <c r="K161" s="1" t="s">
        <v>134</v>
      </c>
      <c r="L161" s="1" t="s">
        <v>135</v>
      </c>
      <c r="M161" s="1">
        <v>2.8000000000000001E-2</v>
      </c>
      <c r="N161" s="1">
        <v>0.85217900000000002</v>
      </c>
      <c r="O161" s="1">
        <v>179.05625900000001</v>
      </c>
      <c r="P161" s="2">
        <v>117016160</v>
      </c>
      <c r="Q161" s="2">
        <v>46112544</v>
      </c>
      <c r="R161" s="2">
        <v>130431352</v>
      </c>
      <c r="S161" s="2">
        <v>72976808</v>
      </c>
      <c r="T161" s="2">
        <v>132387160</v>
      </c>
      <c r="U161" s="2">
        <v>197407424</v>
      </c>
      <c r="V161" s="2">
        <v>5551056.5</v>
      </c>
      <c r="W161" s="2">
        <v>7235402.5</v>
      </c>
      <c r="X161" s="2">
        <v>88204832</v>
      </c>
      <c r="Y161" s="1">
        <f t="shared" ca="1" si="2"/>
        <v>6996</v>
      </c>
      <c r="Z161" s="1">
        <f t="shared" ca="1" si="2"/>
        <v>4107</v>
      </c>
    </row>
    <row r="162" spans="2:26" x14ac:dyDescent="0.2">
      <c r="B162" s="1">
        <v>163</v>
      </c>
      <c r="C162" s="1">
        <v>164</v>
      </c>
      <c r="D162" s="1">
        <v>8</v>
      </c>
      <c r="E162" s="1">
        <v>180.059631</v>
      </c>
      <c r="F162" s="1">
        <v>5.532</v>
      </c>
      <c r="G162" s="1">
        <v>0.82223100000000005</v>
      </c>
      <c r="I162" s="1" t="s">
        <v>19</v>
      </c>
      <c r="J162" s="1" t="s">
        <v>134</v>
      </c>
      <c r="K162" s="1" t="s">
        <v>134</v>
      </c>
      <c r="L162" s="1" t="s">
        <v>135</v>
      </c>
      <c r="M162" s="1">
        <v>2.8000000000000001E-2</v>
      </c>
      <c r="N162" s="1">
        <v>0.93217399999999995</v>
      </c>
      <c r="O162" s="1">
        <v>179.05625900000001</v>
      </c>
      <c r="P162" s="2">
        <v>8019358.5</v>
      </c>
      <c r="Q162" s="2">
        <v>3140056</v>
      </c>
      <c r="R162" s="2">
        <v>9148369</v>
      </c>
      <c r="S162" s="2">
        <v>5134630</v>
      </c>
      <c r="T162" s="2">
        <v>9973419</v>
      </c>
      <c r="U162" s="2">
        <v>14615967</v>
      </c>
      <c r="V162" s="2">
        <v>288448.53000000003</v>
      </c>
      <c r="W162" s="2">
        <v>453594.12</v>
      </c>
      <c r="X162" s="2">
        <v>6198996</v>
      </c>
      <c r="Y162" s="1">
        <f t="shared" ca="1" si="2"/>
        <v>4364</v>
      </c>
      <c r="Z162" s="1">
        <f t="shared" ca="1" si="2"/>
        <v>4442</v>
      </c>
    </row>
    <row r="163" spans="2:26" x14ac:dyDescent="0.2">
      <c r="B163" s="1">
        <v>163</v>
      </c>
      <c r="C163" s="1">
        <v>165</v>
      </c>
      <c r="D163" s="1">
        <v>15</v>
      </c>
      <c r="E163" s="1">
        <v>181.06291200000001</v>
      </c>
      <c r="F163" s="1">
        <v>5.5149999999999997</v>
      </c>
      <c r="G163" s="1">
        <v>0.79300599999999999</v>
      </c>
      <c r="I163" s="1" t="s">
        <v>22</v>
      </c>
      <c r="J163" s="1" t="s">
        <v>134</v>
      </c>
      <c r="K163" s="1" t="s">
        <v>134</v>
      </c>
      <c r="L163" s="1" t="s">
        <v>135</v>
      </c>
      <c r="M163" s="1">
        <v>4.4999999999999998E-2</v>
      </c>
      <c r="N163" s="1">
        <v>0.50564100000000001</v>
      </c>
      <c r="O163" s="1">
        <v>179.05625900000001</v>
      </c>
      <c r="P163" s="2">
        <v>163411.98000000001</v>
      </c>
      <c r="Q163" s="2">
        <v>64022.94</v>
      </c>
      <c r="R163" s="2">
        <v>320837.71999999997</v>
      </c>
      <c r="S163" s="2">
        <v>256713.55</v>
      </c>
      <c r="T163" s="2">
        <v>881626.44</v>
      </c>
      <c r="U163" s="2">
        <v>1268350.1200000001</v>
      </c>
      <c r="V163" s="2">
        <v>3943.48</v>
      </c>
      <c r="W163" s="2">
        <v>30759.64</v>
      </c>
      <c r="X163" s="2">
        <v>359212.84</v>
      </c>
      <c r="Y163" s="1">
        <f t="shared" ca="1" si="2"/>
        <v>6451</v>
      </c>
      <c r="Z163" s="1">
        <f t="shared" ca="1" si="2"/>
        <v>7522</v>
      </c>
    </row>
    <row r="164" spans="2:26" x14ac:dyDescent="0.2">
      <c r="B164" s="1">
        <v>163</v>
      </c>
      <c r="C164" s="1">
        <v>166</v>
      </c>
      <c r="D164" s="1">
        <v>5</v>
      </c>
      <c r="E164" s="1">
        <v>182.06622300000001</v>
      </c>
      <c r="F164" s="1">
        <v>5.4950000000000001</v>
      </c>
      <c r="G164" s="1">
        <v>0.78958899999999999</v>
      </c>
      <c r="I164" s="1" t="s">
        <v>23</v>
      </c>
      <c r="J164" s="1" t="s">
        <v>134</v>
      </c>
      <c r="K164" s="1" t="s">
        <v>134</v>
      </c>
      <c r="L164" s="1" t="s">
        <v>135</v>
      </c>
      <c r="M164" s="1">
        <v>6.5000000000000002E-2</v>
      </c>
      <c r="N164" s="1">
        <v>0.25142700000000001</v>
      </c>
      <c r="O164" s="1">
        <v>179.05625900000001</v>
      </c>
      <c r="P164" s="2">
        <v>0</v>
      </c>
      <c r="Q164" s="2">
        <v>6521.13</v>
      </c>
      <c r="R164" s="2">
        <v>138817.57999999999</v>
      </c>
      <c r="S164" s="2">
        <v>203432.19</v>
      </c>
      <c r="T164" s="2">
        <v>734117.94</v>
      </c>
      <c r="U164" s="2">
        <v>1169000.8799999999</v>
      </c>
      <c r="V164" s="2">
        <v>0</v>
      </c>
      <c r="W164" s="2">
        <v>26895.17</v>
      </c>
      <c r="X164" s="2">
        <v>241281.38</v>
      </c>
      <c r="Y164" s="1">
        <f t="shared" ca="1" si="2"/>
        <v>3579</v>
      </c>
      <c r="Z164" s="1">
        <f t="shared" ca="1" si="2"/>
        <v>4091</v>
      </c>
    </row>
    <row r="165" spans="2:26" x14ac:dyDescent="0.2">
      <c r="B165" s="1">
        <v>163</v>
      </c>
      <c r="C165" s="1">
        <v>167</v>
      </c>
      <c r="D165" s="1">
        <v>5</v>
      </c>
      <c r="E165" s="1">
        <v>183.06970200000001</v>
      </c>
      <c r="F165" s="1">
        <v>5.5330000000000004</v>
      </c>
      <c r="G165" s="1">
        <v>0.76586799999999999</v>
      </c>
      <c r="I165" s="1" t="s">
        <v>59</v>
      </c>
      <c r="J165" s="1" t="s">
        <v>134</v>
      </c>
      <c r="K165" s="1" t="s">
        <v>134</v>
      </c>
      <c r="L165" s="1" t="s">
        <v>135</v>
      </c>
      <c r="M165" s="1">
        <v>2.7E-2</v>
      </c>
      <c r="N165" s="1">
        <v>0.91684699999999997</v>
      </c>
      <c r="O165" s="1">
        <v>179.05625900000001</v>
      </c>
      <c r="P165" s="2">
        <v>0</v>
      </c>
      <c r="Q165" s="2">
        <v>0</v>
      </c>
      <c r="R165" s="2">
        <v>47084.89</v>
      </c>
      <c r="S165" s="2">
        <v>55373.42</v>
      </c>
      <c r="T165" s="2">
        <v>206665.17</v>
      </c>
      <c r="U165" s="2">
        <v>332012.40999999997</v>
      </c>
      <c r="V165" s="2">
        <v>0</v>
      </c>
      <c r="W165" s="2">
        <v>7598.15</v>
      </c>
      <c r="X165" s="2">
        <v>99354.91</v>
      </c>
      <c r="Y165" s="1">
        <f t="shared" ca="1" si="2"/>
        <v>4219</v>
      </c>
      <c r="Z165" s="1">
        <f t="shared" ca="1" si="2"/>
        <v>1364</v>
      </c>
    </row>
    <row r="166" spans="2:26" x14ac:dyDescent="0.2">
      <c r="B166" s="1">
        <v>163</v>
      </c>
      <c r="C166" s="1">
        <v>168</v>
      </c>
      <c r="D166" s="1">
        <v>6</v>
      </c>
      <c r="E166" s="1">
        <v>184.072968</v>
      </c>
      <c r="F166" s="1">
        <v>5.524</v>
      </c>
      <c r="G166" s="1">
        <v>0.77765499999999999</v>
      </c>
      <c r="I166" s="1" t="s">
        <v>48</v>
      </c>
      <c r="J166" s="1" t="s">
        <v>134</v>
      </c>
      <c r="K166" s="1" t="s">
        <v>134</v>
      </c>
      <c r="L166" s="1" t="s">
        <v>135</v>
      </c>
      <c r="M166" s="1">
        <v>3.5999999999999997E-2</v>
      </c>
      <c r="N166" s="1">
        <v>0.41447699999999998</v>
      </c>
      <c r="O166" s="1">
        <v>179.05625900000001</v>
      </c>
      <c r="P166" s="2">
        <v>0</v>
      </c>
      <c r="Q166" s="2">
        <v>46009.95</v>
      </c>
      <c r="R166" s="2">
        <v>273233.31</v>
      </c>
      <c r="S166" s="2">
        <v>227657.98</v>
      </c>
      <c r="T166" s="2">
        <v>613728</v>
      </c>
      <c r="U166" s="2">
        <v>897955.31</v>
      </c>
      <c r="V166" s="2">
        <v>0</v>
      </c>
      <c r="W166" s="2">
        <v>22847.8</v>
      </c>
      <c r="X166" s="2">
        <v>122648.65</v>
      </c>
      <c r="Y166" s="1">
        <f t="shared" ca="1" si="2"/>
        <v>1777</v>
      </c>
      <c r="Z166" s="1">
        <f t="shared" ca="1" si="2"/>
        <v>4595</v>
      </c>
    </row>
    <row r="167" spans="2:26" x14ac:dyDescent="0.2">
      <c r="B167" s="1">
        <v>163</v>
      </c>
      <c r="C167" s="1">
        <v>169</v>
      </c>
      <c r="D167" s="1">
        <v>4</v>
      </c>
      <c r="E167" s="1">
        <v>185.07633999999999</v>
      </c>
      <c r="F167" s="1">
        <v>5.5190000000000001</v>
      </c>
      <c r="G167" s="1">
        <v>0.80453399999999997</v>
      </c>
      <c r="I167" s="1" t="s">
        <v>90</v>
      </c>
      <c r="J167" s="1" t="s">
        <v>134</v>
      </c>
      <c r="K167" s="1" t="s">
        <v>134</v>
      </c>
      <c r="L167" s="1" t="s">
        <v>135</v>
      </c>
      <c r="M167" s="1">
        <v>4.1000000000000002E-2</v>
      </c>
      <c r="N167" s="1">
        <v>0.494676</v>
      </c>
      <c r="O167" s="1">
        <v>179.05625900000001</v>
      </c>
      <c r="P167" s="2">
        <v>0</v>
      </c>
      <c r="Q167" s="2">
        <v>801967.81</v>
      </c>
      <c r="R167" s="2">
        <v>5715852</v>
      </c>
      <c r="S167" s="2">
        <v>5093030</v>
      </c>
      <c r="T167" s="2">
        <v>11609132</v>
      </c>
      <c r="U167" s="2">
        <v>16259777</v>
      </c>
      <c r="V167" s="2">
        <v>0</v>
      </c>
      <c r="W167" s="2">
        <v>427791.34</v>
      </c>
      <c r="X167" s="2">
        <v>2460177.75</v>
      </c>
      <c r="Y167" s="1">
        <f t="shared" ca="1" si="2"/>
        <v>5254</v>
      </c>
      <c r="Z167" s="1">
        <f t="shared" ca="1" si="2"/>
        <v>5431</v>
      </c>
    </row>
    <row r="168" spans="2:26" x14ac:dyDescent="0.2">
      <c r="B168" s="1">
        <v>170</v>
      </c>
      <c r="C168" s="1">
        <v>170</v>
      </c>
      <c r="D168" s="1">
        <v>18</v>
      </c>
      <c r="E168" s="1">
        <v>180.066742</v>
      </c>
      <c r="F168" s="1">
        <v>4.9320000000000004</v>
      </c>
      <c r="G168" s="1">
        <v>0.861371</v>
      </c>
      <c r="H168" s="1" t="s">
        <v>15</v>
      </c>
      <c r="I168" s="1" t="s">
        <v>16</v>
      </c>
      <c r="J168" s="1" t="s">
        <v>136</v>
      </c>
      <c r="K168" s="1" t="s">
        <v>136</v>
      </c>
      <c r="L168" s="1" t="s">
        <v>137</v>
      </c>
      <c r="M168" s="1">
        <v>0.318</v>
      </c>
      <c r="N168" s="1">
        <v>0.67791699999999999</v>
      </c>
      <c r="O168" s="1">
        <v>180.066742</v>
      </c>
      <c r="P168" s="2">
        <v>4537378</v>
      </c>
      <c r="Q168" s="2">
        <v>1489552.88</v>
      </c>
      <c r="R168" s="2">
        <v>4049575.25</v>
      </c>
      <c r="S168" s="2">
        <v>2246868.5</v>
      </c>
      <c r="T168" s="2">
        <v>3259489.25</v>
      </c>
      <c r="U168" s="2">
        <v>4882924.5</v>
      </c>
      <c r="V168" s="2">
        <v>1565771.62</v>
      </c>
      <c r="W168" s="2">
        <v>905700.56</v>
      </c>
      <c r="X168" s="2">
        <v>1991541.88</v>
      </c>
      <c r="Y168" s="1">
        <f t="shared" ca="1" si="2"/>
        <v>6830</v>
      </c>
      <c r="Z168" s="1">
        <f t="shared" ca="1" si="2"/>
        <v>7865</v>
      </c>
    </row>
    <row r="169" spans="2:26" x14ac:dyDescent="0.2">
      <c r="B169" s="1">
        <v>170</v>
      </c>
      <c r="C169" s="1">
        <v>171</v>
      </c>
      <c r="D169" s="1">
        <v>18</v>
      </c>
      <c r="E169" s="1">
        <v>181.070099</v>
      </c>
      <c r="F169" s="1">
        <v>4.931</v>
      </c>
      <c r="G169" s="1">
        <v>0.83284999999999998</v>
      </c>
      <c r="I169" s="1" t="s">
        <v>19</v>
      </c>
      <c r="J169" s="1" t="s">
        <v>136</v>
      </c>
      <c r="K169" s="1" t="s">
        <v>136</v>
      </c>
      <c r="L169" s="1" t="s">
        <v>137</v>
      </c>
      <c r="M169" s="1">
        <v>0.31900000000000001</v>
      </c>
      <c r="N169" s="1">
        <v>0.67416100000000001</v>
      </c>
      <c r="O169" s="1">
        <v>180.066742</v>
      </c>
      <c r="P169" s="2">
        <v>350473.22</v>
      </c>
      <c r="Q169" s="2">
        <v>117594.88</v>
      </c>
      <c r="R169" s="2">
        <v>334819.28000000003</v>
      </c>
      <c r="S169" s="2">
        <v>176209.45</v>
      </c>
      <c r="T169" s="2">
        <v>261001.67</v>
      </c>
      <c r="U169" s="2">
        <v>393509.97</v>
      </c>
      <c r="V169" s="2">
        <v>136909.42000000001</v>
      </c>
      <c r="W169" s="2">
        <v>80413.350000000006</v>
      </c>
      <c r="X169" s="2">
        <v>156626.73000000001</v>
      </c>
      <c r="Y169" s="1">
        <f t="shared" ca="1" si="2"/>
        <v>3386</v>
      </c>
      <c r="Z169" s="1">
        <f t="shared" ca="1" si="2"/>
        <v>1766</v>
      </c>
    </row>
    <row r="170" spans="2:26" x14ac:dyDescent="0.2">
      <c r="B170" s="1">
        <v>170</v>
      </c>
      <c r="C170" s="1">
        <v>172</v>
      </c>
      <c r="D170" s="1">
        <v>3</v>
      </c>
      <c r="E170" s="1">
        <v>182.07341</v>
      </c>
      <c r="F170" s="1">
        <v>4.9160000000000004</v>
      </c>
      <c r="G170" s="1">
        <v>0.73504999999999998</v>
      </c>
      <c r="I170" s="1" t="s">
        <v>22</v>
      </c>
      <c r="J170" s="1" t="s">
        <v>136</v>
      </c>
      <c r="K170" s="1" t="s">
        <v>136</v>
      </c>
      <c r="L170" s="1" t="s">
        <v>137</v>
      </c>
      <c r="M170" s="1">
        <v>0.33400000000000002</v>
      </c>
      <c r="N170" s="1">
        <v>0.502834</v>
      </c>
      <c r="O170" s="1">
        <v>180.066742</v>
      </c>
      <c r="P170" s="2">
        <v>12249.53</v>
      </c>
      <c r="Q170" s="2">
        <v>6115.22</v>
      </c>
      <c r="R170" s="2">
        <v>11547.85</v>
      </c>
      <c r="S170" s="2">
        <v>6490.07</v>
      </c>
      <c r="T170" s="2">
        <v>9846.84</v>
      </c>
      <c r="U170" s="2">
        <v>9426.41</v>
      </c>
      <c r="V170" s="2">
        <v>0</v>
      </c>
      <c r="W170" s="2">
        <v>0</v>
      </c>
      <c r="X170" s="2">
        <v>3694.83</v>
      </c>
      <c r="Y170" s="1">
        <f t="shared" ca="1" si="2"/>
        <v>2878</v>
      </c>
      <c r="Z170" s="1">
        <f t="shared" ca="1" si="2"/>
        <v>4336</v>
      </c>
    </row>
    <row r="171" spans="2:26" x14ac:dyDescent="0.2">
      <c r="B171" s="1">
        <v>173</v>
      </c>
      <c r="C171" s="1">
        <v>173</v>
      </c>
      <c r="D171" s="1">
        <v>18</v>
      </c>
      <c r="E171" s="1">
        <v>181.05081200000001</v>
      </c>
      <c r="F171" s="1">
        <v>2.2839999999999998</v>
      </c>
      <c r="G171" s="1">
        <v>0.85029399999999999</v>
      </c>
      <c r="H171" s="1" t="s">
        <v>15</v>
      </c>
      <c r="I171" s="1" t="s">
        <v>16</v>
      </c>
      <c r="J171" s="1" t="s">
        <v>138</v>
      </c>
      <c r="K171" s="1" t="s">
        <v>138</v>
      </c>
      <c r="L171" s="1" t="s">
        <v>139</v>
      </c>
      <c r="M171" s="1">
        <v>0.13600000000000001</v>
      </c>
      <c r="N171" s="1">
        <v>1.01135</v>
      </c>
      <c r="O171" s="1">
        <v>181.05081200000001</v>
      </c>
      <c r="P171" s="2">
        <v>384579.09</v>
      </c>
      <c r="Q171" s="2">
        <v>760408.81</v>
      </c>
      <c r="R171" s="2">
        <v>358983.5</v>
      </c>
      <c r="S171" s="2">
        <v>664502.62</v>
      </c>
      <c r="T171" s="2">
        <v>332830.90999999997</v>
      </c>
      <c r="U171" s="2">
        <v>395217.34</v>
      </c>
      <c r="V171" s="2">
        <v>285872.28000000003</v>
      </c>
      <c r="W171" s="2">
        <v>184991.33</v>
      </c>
      <c r="X171" s="2">
        <v>157009.01999999999</v>
      </c>
      <c r="Y171" s="1">
        <f t="shared" ca="1" si="2"/>
        <v>3482</v>
      </c>
      <c r="Z171" s="1">
        <f t="shared" ca="1" si="2"/>
        <v>1520</v>
      </c>
    </row>
    <row r="172" spans="2:26" x14ac:dyDescent="0.2">
      <c r="B172" s="1">
        <v>173</v>
      </c>
      <c r="C172" s="1">
        <v>174</v>
      </c>
      <c r="D172" s="1">
        <v>16</v>
      </c>
      <c r="E172" s="1">
        <v>182.05406199999999</v>
      </c>
      <c r="F172" s="1">
        <v>2.2799999999999998</v>
      </c>
      <c r="G172" s="1">
        <v>0.831457</v>
      </c>
      <c r="I172" s="1" t="s">
        <v>19</v>
      </c>
      <c r="J172" s="1" t="s">
        <v>138</v>
      </c>
      <c r="K172" s="1" t="s">
        <v>138</v>
      </c>
      <c r="L172" s="1" t="s">
        <v>139</v>
      </c>
      <c r="M172" s="1">
        <v>0.14000000000000001</v>
      </c>
      <c r="N172" s="1">
        <v>0.41907299999999997</v>
      </c>
      <c r="O172" s="1">
        <v>181.05081200000001</v>
      </c>
      <c r="P172" s="2">
        <v>33706.97</v>
      </c>
      <c r="Q172" s="2">
        <v>54333.919999999998</v>
      </c>
      <c r="R172" s="2">
        <v>33456.300000000003</v>
      </c>
      <c r="S172" s="2">
        <v>55939.57</v>
      </c>
      <c r="T172" s="2">
        <v>31952.01</v>
      </c>
      <c r="U172" s="2">
        <v>31670.29</v>
      </c>
      <c r="V172" s="2">
        <v>22692.86</v>
      </c>
      <c r="W172" s="2">
        <v>16655.990000000002</v>
      </c>
      <c r="X172" s="2">
        <v>16472.38</v>
      </c>
      <c r="Y172" s="1">
        <f t="shared" ca="1" si="2"/>
        <v>2782</v>
      </c>
      <c r="Z172" s="1">
        <f t="shared" ca="1" si="2"/>
        <v>2845</v>
      </c>
    </row>
    <row r="173" spans="2:26" x14ac:dyDescent="0.2">
      <c r="B173" s="1">
        <v>173</v>
      </c>
      <c r="C173" s="1">
        <v>175</v>
      </c>
      <c r="D173" s="1">
        <v>0</v>
      </c>
      <c r="E173" s="1">
        <v>183.05755600000001</v>
      </c>
      <c r="F173" s="1">
        <v>2.2170000000000001</v>
      </c>
      <c r="G173" s="1">
        <v>5.7161999999999998E-2</v>
      </c>
      <c r="I173" s="1" t="s">
        <v>22</v>
      </c>
      <c r="J173" s="1" t="s">
        <v>138</v>
      </c>
      <c r="K173" s="1" t="s">
        <v>138</v>
      </c>
      <c r="L173" s="1" t="s">
        <v>139</v>
      </c>
      <c r="M173" s="1">
        <v>0.20300000000000001</v>
      </c>
      <c r="N173" s="1">
        <v>1.166973</v>
      </c>
      <c r="O173" s="1">
        <v>181.05081200000001</v>
      </c>
      <c r="P173" s="2">
        <v>0</v>
      </c>
      <c r="Q173" s="2">
        <v>0</v>
      </c>
      <c r="R173" s="2">
        <v>0</v>
      </c>
      <c r="S173" s="2">
        <v>1988.73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1">
        <f t="shared" ca="1" si="2"/>
        <v>3828</v>
      </c>
      <c r="Z173" s="1">
        <f t="shared" ca="1" si="2"/>
        <v>5451</v>
      </c>
    </row>
    <row r="174" spans="2:26" x14ac:dyDescent="0.2">
      <c r="B174" s="1">
        <v>173</v>
      </c>
      <c r="C174" s="1">
        <v>176</v>
      </c>
      <c r="D174" s="1">
        <v>0</v>
      </c>
      <c r="E174" s="1">
        <v>189.07702599999999</v>
      </c>
      <c r="F174" s="1">
        <v>2.2490000000000001</v>
      </c>
      <c r="G174" s="1">
        <v>0.37795299999999998</v>
      </c>
      <c r="I174" s="1" t="s">
        <v>140</v>
      </c>
      <c r="J174" s="1" t="s">
        <v>138</v>
      </c>
      <c r="K174" s="1" t="s">
        <v>138</v>
      </c>
      <c r="L174" s="1" t="s">
        <v>139</v>
      </c>
      <c r="M174" s="1">
        <v>0.17100000000000001</v>
      </c>
      <c r="N174" s="1">
        <v>2.3403360000000002</v>
      </c>
      <c r="O174" s="1">
        <v>181.05081200000001</v>
      </c>
      <c r="P174" s="2">
        <v>5823.52</v>
      </c>
      <c r="Q174" s="2">
        <v>15472.9</v>
      </c>
      <c r="R174" s="2">
        <v>3389.96</v>
      </c>
      <c r="S174" s="2">
        <v>6519.24</v>
      </c>
      <c r="T174" s="2">
        <v>3819.77</v>
      </c>
      <c r="U174" s="2">
        <v>5490.12</v>
      </c>
      <c r="V174" s="2">
        <v>3328.69</v>
      </c>
      <c r="W174" s="2">
        <v>2556.7199999999998</v>
      </c>
      <c r="X174" s="2">
        <v>3103.12</v>
      </c>
      <c r="Y174" s="1">
        <f t="shared" ca="1" si="2"/>
        <v>7922</v>
      </c>
      <c r="Z174" s="1">
        <f t="shared" ca="1" si="2"/>
        <v>4580</v>
      </c>
    </row>
    <row r="175" spans="2:26" x14ac:dyDescent="0.2">
      <c r="B175" s="1">
        <v>177</v>
      </c>
      <c r="C175" s="1">
        <v>177</v>
      </c>
      <c r="D175" s="1">
        <v>18</v>
      </c>
      <c r="E175" s="1">
        <v>181.07188400000001</v>
      </c>
      <c r="F175" s="1">
        <v>5.4660000000000002</v>
      </c>
      <c r="G175" s="1">
        <v>0.85352899999999998</v>
      </c>
      <c r="H175" s="1" t="s">
        <v>15</v>
      </c>
      <c r="I175" s="1" t="s">
        <v>16</v>
      </c>
      <c r="J175" s="1" t="s">
        <v>141</v>
      </c>
      <c r="K175" s="1" t="s">
        <v>141</v>
      </c>
      <c r="L175" s="1" t="s">
        <v>142</v>
      </c>
      <c r="M175" s="1">
        <v>4.3999999999999997E-2</v>
      </c>
      <c r="N175" s="1">
        <v>0.67415400000000003</v>
      </c>
      <c r="O175" s="1">
        <v>181.07188400000001</v>
      </c>
      <c r="P175" s="2">
        <v>1983319.12</v>
      </c>
      <c r="Q175" s="2">
        <v>1170725.3799999999</v>
      </c>
      <c r="R175" s="2">
        <v>1685634.38</v>
      </c>
      <c r="S175" s="2">
        <v>771734.06</v>
      </c>
      <c r="T175" s="2">
        <v>988753</v>
      </c>
      <c r="U175" s="2">
        <v>1661415</v>
      </c>
      <c r="V175" s="2">
        <v>392018.09</v>
      </c>
      <c r="W175" s="2">
        <v>435174.12</v>
      </c>
      <c r="X175" s="2">
        <v>818317.56</v>
      </c>
      <c r="Y175" s="1">
        <f t="shared" ca="1" si="2"/>
        <v>7241</v>
      </c>
      <c r="Z175" s="1">
        <f t="shared" ca="1" si="2"/>
        <v>2265</v>
      </c>
    </row>
    <row r="176" spans="2:26" x14ac:dyDescent="0.2">
      <c r="B176" s="1">
        <v>177</v>
      </c>
      <c r="C176" s="1">
        <v>178</v>
      </c>
      <c r="D176" s="1">
        <v>14</v>
      </c>
      <c r="E176" s="1">
        <v>182.075256</v>
      </c>
      <c r="F176" s="1">
        <v>5.46</v>
      </c>
      <c r="G176" s="1">
        <v>0.79092899999999999</v>
      </c>
      <c r="I176" s="1" t="s">
        <v>19</v>
      </c>
      <c r="J176" s="1" t="s">
        <v>141</v>
      </c>
      <c r="K176" s="1" t="s">
        <v>141</v>
      </c>
      <c r="L176" s="1" t="s">
        <v>142</v>
      </c>
      <c r="M176" s="1">
        <v>0.05</v>
      </c>
      <c r="N176" s="1">
        <v>0.75424400000000003</v>
      </c>
      <c r="O176" s="1">
        <v>181.07188400000001</v>
      </c>
      <c r="P176" s="2">
        <v>92588.84</v>
      </c>
      <c r="Q176" s="2">
        <v>46610.92</v>
      </c>
      <c r="R176" s="2">
        <v>79143.45</v>
      </c>
      <c r="S176" s="2">
        <v>33348.379999999997</v>
      </c>
      <c r="T176" s="2">
        <v>49694.53</v>
      </c>
      <c r="U176" s="2">
        <v>112291.41</v>
      </c>
      <c r="V176" s="2">
        <v>20540.47</v>
      </c>
      <c r="W176" s="2">
        <v>21303.69</v>
      </c>
      <c r="X176" s="2">
        <v>54988.58</v>
      </c>
      <c r="Y176" s="1">
        <f t="shared" ca="1" si="2"/>
        <v>1180</v>
      </c>
      <c r="Z176" s="1">
        <f t="shared" ca="1" si="2"/>
        <v>2163</v>
      </c>
    </row>
    <row r="177" spans="2:26" x14ac:dyDescent="0.2">
      <c r="B177" s="1">
        <v>179</v>
      </c>
      <c r="C177" s="1">
        <v>179</v>
      </c>
      <c r="D177" s="1">
        <v>16</v>
      </c>
      <c r="E177" s="1">
        <v>182.01280199999999</v>
      </c>
      <c r="F177" s="1">
        <v>6.931</v>
      </c>
      <c r="G177" s="1">
        <v>0.83040899999999995</v>
      </c>
      <c r="H177" s="1" t="s">
        <v>15</v>
      </c>
      <c r="I177" s="1" t="s">
        <v>16</v>
      </c>
      <c r="J177" s="1" t="s">
        <v>143</v>
      </c>
      <c r="K177" s="1" t="s">
        <v>143</v>
      </c>
      <c r="L177" s="1" t="s">
        <v>144</v>
      </c>
      <c r="M177" s="1">
        <v>2.1000000000000001E-2</v>
      </c>
      <c r="N177" s="1">
        <v>0.33533400000000002</v>
      </c>
      <c r="O177" s="1">
        <v>182.01280199999999</v>
      </c>
      <c r="P177" s="2">
        <v>803213.5</v>
      </c>
      <c r="Q177" s="2">
        <v>559671.43999999994</v>
      </c>
      <c r="R177" s="2">
        <v>862281.69</v>
      </c>
      <c r="S177" s="2">
        <v>683482.81</v>
      </c>
      <c r="T177" s="2">
        <v>874309</v>
      </c>
      <c r="U177" s="2">
        <v>866500.69</v>
      </c>
      <c r="V177" s="2">
        <v>117555.77</v>
      </c>
      <c r="W177" s="2">
        <v>126451.09</v>
      </c>
      <c r="X177" s="2">
        <v>158176.60999999999</v>
      </c>
      <c r="Y177" s="1">
        <f t="shared" ca="1" si="2"/>
        <v>2830</v>
      </c>
      <c r="Z177" s="1">
        <f t="shared" ca="1" si="2"/>
        <v>3795</v>
      </c>
    </row>
    <row r="178" spans="2:26" x14ac:dyDescent="0.2">
      <c r="B178" s="1">
        <v>180</v>
      </c>
      <c r="C178" s="1">
        <v>180</v>
      </c>
      <c r="D178" s="1">
        <v>16</v>
      </c>
      <c r="E178" s="1">
        <v>182.04595900000001</v>
      </c>
      <c r="F178" s="1">
        <v>1.5880000000000001</v>
      </c>
      <c r="G178" s="1">
        <v>0.85478399999999999</v>
      </c>
      <c r="H178" s="1" t="s">
        <v>15</v>
      </c>
      <c r="I178" s="1" t="s">
        <v>16</v>
      </c>
      <c r="J178" s="1" t="s">
        <v>145</v>
      </c>
      <c r="K178" s="1" t="s">
        <v>145</v>
      </c>
      <c r="L178" s="1" t="s">
        <v>146</v>
      </c>
      <c r="M178" s="1">
        <v>2E-3</v>
      </c>
      <c r="N178" s="1">
        <v>0.41909200000000002</v>
      </c>
      <c r="O178" s="1">
        <v>182.04595900000001</v>
      </c>
      <c r="P178" s="2">
        <v>1066384.75</v>
      </c>
      <c r="Q178" s="2">
        <v>1083583.8799999999</v>
      </c>
      <c r="R178" s="2">
        <v>585747.06000000006</v>
      </c>
      <c r="S178" s="2">
        <v>256701.98</v>
      </c>
      <c r="T178" s="2">
        <v>397957.47</v>
      </c>
      <c r="U178" s="2">
        <v>637773.5</v>
      </c>
      <c r="V178" s="2">
        <v>39008.050000000003</v>
      </c>
      <c r="W178" s="2">
        <v>30100.16</v>
      </c>
      <c r="X178" s="2">
        <v>179460.25</v>
      </c>
      <c r="Y178" s="1">
        <f t="shared" ca="1" si="2"/>
        <v>2999</v>
      </c>
      <c r="Z178" s="1">
        <f t="shared" ca="1" si="2"/>
        <v>6026</v>
      </c>
    </row>
    <row r="179" spans="2:26" x14ac:dyDescent="0.2">
      <c r="B179" s="1">
        <v>180</v>
      </c>
      <c r="C179" s="1">
        <v>181</v>
      </c>
      <c r="D179" s="1">
        <v>11</v>
      </c>
      <c r="E179" s="1">
        <v>183.049362</v>
      </c>
      <c r="F179" s="1">
        <v>1.571</v>
      </c>
      <c r="G179" s="1">
        <v>0.79862500000000003</v>
      </c>
      <c r="I179" s="1" t="s">
        <v>19</v>
      </c>
      <c r="J179" s="1" t="s">
        <v>145</v>
      </c>
      <c r="K179" s="1" t="s">
        <v>145</v>
      </c>
      <c r="L179" s="1" t="s">
        <v>146</v>
      </c>
      <c r="M179" s="1">
        <v>1.9E-2</v>
      </c>
      <c r="N179" s="1">
        <v>0.66687099999999999</v>
      </c>
      <c r="O179" s="1">
        <v>182.04595900000001</v>
      </c>
      <c r="P179" s="2">
        <v>77560.72</v>
      </c>
      <c r="Q179" s="2">
        <v>74791.070000000007</v>
      </c>
      <c r="R179" s="2">
        <v>39685.75</v>
      </c>
      <c r="S179" s="2">
        <v>18935.830000000002</v>
      </c>
      <c r="T179" s="2">
        <v>34245.64</v>
      </c>
      <c r="U179" s="2">
        <v>45511.21</v>
      </c>
      <c r="V179" s="2">
        <v>0</v>
      </c>
      <c r="W179" s="2">
        <v>2100.5700000000002</v>
      </c>
      <c r="X179" s="2">
        <v>15235.98</v>
      </c>
      <c r="Y179" s="1">
        <f t="shared" ca="1" si="2"/>
        <v>3382</v>
      </c>
      <c r="Z179" s="1">
        <f t="shared" ca="1" si="2"/>
        <v>3601</v>
      </c>
    </row>
    <row r="180" spans="2:26" x14ac:dyDescent="0.2">
      <c r="B180" s="1">
        <v>182</v>
      </c>
      <c r="C180" s="1">
        <v>182</v>
      </c>
      <c r="D180" s="1">
        <v>7</v>
      </c>
      <c r="E180" s="1">
        <v>184.98582500000001</v>
      </c>
      <c r="F180" s="1">
        <v>9.3260000000000005</v>
      </c>
      <c r="G180" s="1">
        <v>0.84986499999999998</v>
      </c>
      <c r="H180" s="1" t="s">
        <v>15</v>
      </c>
      <c r="I180" s="1" t="s">
        <v>16</v>
      </c>
      <c r="J180" s="1" t="s">
        <v>147</v>
      </c>
      <c r="K180" s="1" t="s">
        <v>147</v>
      </c>
      <c r="L180" s="1" t="s">
        <v>148</v>
      </c>
      <c r="M180" s="1">
        <v>0.154</v>
      </c>
      <c r="N180" s="1">
        <v>0.82486300000000001</v>
      </c>
      <c r="O180" s="1">
        <v>184.98582500000001</v>
      </c>
      <c r="P180" s="2">
        <v>8413.58</v>
      </c>
      <c r="Q180" s="2">
        <v>2413.69</v>
      </c>
      <c r="R180" s="2">
        <v>4934.12</v>
      </c>
      <c r="S180" s="2">
        <v>1503.29</v>
      </c>
      <c r="T180" s="2">
        <v>2026.12</v>
      </c>
      <c r="U180" s="2">
        <v>1847.81</v>
      </c>
      <c r="V180" s="2">
        <v>441659.38</v>
      </c>
      <c r="W180" s="2">
        <v>483195.34</v>
      </c>
      <c r="X180" s="2">
        <v>49887.42</v>
      </c>
      <c r="Y180" s="1">
        <f t="shared" ca="1" si="2"/>
        <v>3876</v>
      </c>
      <c r="Z180" s="1">
        <f t="shared" ca="1" si="2"/>
        <v>5267</v>
      </c>
    </row>
    <row r="181" spans="2:26" x14ac:dyDescent="0.2">
      <c r="B181" s="1">
        <v>182</v>
      </c>
      <c r="C181" s="1">
        <v>183</v>
      </c>
      <c r="D181" s="1">
        <v>0</v>
      </c>
      <c r="E181" s="1">
        <v>187.99586500000001</v>
      </c>
      <c r="F181" s="1">
        <v>9.2260000000000009</v>
      </c>
      <c r="G181" s="1">
        <v>0.472607</v>
      </c>
      <c r="I181" s="1" t="s">
        <v>23</v>
      </c>
      <c r="J181" s="1" t="s">
        <v>147</v>
      </c>
      <c r="K181" s="1" t="s">
        <v>147</v>
      </c>
      <c r="L181" s="1" t="s">
        <v>148</v>
      </c>
      <c r="M181" s="1">
        <v>0.254</v>
      </c>
      <c r="N181" s="1">
        <v>0.730491</v>
      </c>
      <c r="O181" s="1">
        <v>184.98582500000001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9112.27</v>
      </c>
      <c r="X181" s="2">
        <v>0</v>
      </c>
      <c r="Y181" s="1">
        <f t="shared" ca="1" si="2"/>
        <v>5863</v>
      </c>
      <c r="Z181" s="1">
        <f t="shared" ca="1" si="2"/>
        <v>3505</v>
      </c>
    </row>
    <row r="182" spans="2:26" x14ac:dyDescent="0.2">
      <c r="B182" s="1">
        <v>184</v>
      </c>
      <c r="C182" s="1">
        <v>184</v>
      </c>
      <c r="D182" s="1">
        <v>3</v>
      </c>
      <c r="E182" s="1">
        <v>187.09776299999999</v>
      </c>
      <c r="F182" s="1">
        <v>5.8010000000000002</v>
      </c>
      <c r="G182" s="1">
        <v>0.81545800000000002</v>
      </c>
      <c r="H182" s="1" t="s">
        <v>15</v>
      </c>
      <c r="I182" s="1" t="s">
        <v>16</v>
      </c>
      <c r="J182" s="1" t="s">
        <v>149</v>
      </c>
      <c r="K182" s="1" t="s">
        <v>149</v>
      </c>
      <c r="L182" s="1" t="s">
        <v>150</v>
      </c>
      <c r="M182" s="1">
        <v>5.8999999999999997E-2</v>
      </c>
      <c r="N182" s="1">
        <v>0.97866299999999995</v>
      </c>
      <c r="O182" s="1">
        <v>187.09776299999999</v>
      </c>
      <c r="P182" s="2">
        <v>104986.41</v>
      </c>
      <c r="Q182" s="2">
        <v>533645.12</v>
      </c>
      <c r="R182" s="2">
        <v>58458.16</v>
      </c>
      <c r="S182" s="2">
        <v>44986.61</v>
      </c>
      <c r="T182" s="2">
        <v>26811.8</v>
      </c>
      <c r="U182" s="2">
        <v>34353.800000000003</v>
      </c>
      <c r="V182" s="2">
        <v>34632.54</v>
      </c>
      <c r="W182" s="2">
        <v>33901.550000000003</v>
      </c>
      <c r="X182" s="2">
        <v>46035.89</v>
      </c>
      <c r="Y182" s="1">
        <f t="shared" ca="1" si="2"/>
        <v>6208</v>
      </c>
      <c r="Z182" s="1">
        <f t="shared" ca="1" si="2"/>
        <v>6113</v>
      </c>
    </row>
    <row r="183" spans="2:26" x14ac:dyDescent="0.2">
      <c r="B183" s="1">
        <v>185</v>
      </c>
      <c r="C183" s="1">
        <v>185</v>
      </c>
      <c r="D183" s="1">
        <v>5</v>
      </c>
      <c r="E183" s="1">
        <v>188.05656400000001</v>
      </c>
      <c r="F183" s="1">
        <v>7.1760000000000002</v>
      </c>
      <c r="G183" s="1">
        <v>0.81309699999999996</v>
      </c>
      <c r="H183" s="1" t="s">
        <v>15</v>
      </c>
      <c r="I183" s="1" t="s">
        <v>16</v>
      </c>
      <c r="J183" s="1" t="s">
        <v>151</v>
      </c>
      <c r="K183" s="1" t="s">
        <v>151</v>
      </c>
      <c r="L183" s="1" t="s">
        <v>152</v>
      </c>
      <c r="M183" s="1">
        <v>0.224</v>
      </c>
      <c r="N183" s="1">
        <v>0.649115</v>
      </c>
      <c r="O183" s="1">
        <v>188.05656400000001</v>
      </c>
      <c r="P183" s="2">
        <v>15382.09</v>
      </c>
      <c r="Q183" s="2">
        <v>92097.96</v>
      </c>
      <c r="R183" s="2">
        <v>5167.97</v>
      </c>
      <c r="S183" s="2">
        <v>0</v>
      </c>
      <c r="T183" s="2">
        <v>2836.53</v>
      </c>
      <c r="U183" s="2">
        <v>11739.9</v>
      </c>
      <c r="V183" s="2">
        <v>14620.1</v>
      </c>
      <c r="W183" s="2">
        <v>6142.17</v>
      </c>
      <c r="X183" s="2">
        <v>1627025.88</v>
      </c>
      <c r="Y183" s="1">
        <f t="shared" ca="1" si="2"/>
        <v>3536</v>
      </c>
      <c r="Z183" s="1">
        <f t="shared" ca="1" si="2"/>
        <v>1152</v>
      </c>
    </row>
    <row r="184" spans="2:26" x14ac:dyDescent="0.2">
      <c r="B184" s="1">
        <v>185</v>
      </c>
      <c r="C184" s="1">
        <v>186</v>
      </c>
      <c r="D184" s="1">
        <v>2</v>
      </c>
      <c r="E184" s="1">
        <v>189.05990600000001</v>
      </c>
      <c r="F184" s="1">
        <v>7.0490000000000004</v>
      </c>
      <c r="G184" s="1">
        <v>0.65797799999999995</v>
      </c>
      <c r="I184" s="1" t="s">
        <v>19</v>
      </c>
      <c r="J184" s="1" t="s">
        <v>151</v>
      </c>
      <c r="K184" s="1" t="s">
        <v>151</v>
      </c>
      <c r="L184" s="1" t="s">
        <v>152</v>
      </c>
      <c r="M184" s="1">
        <v>0.35099999999999998</v>
      </c>
      <c r="N184" s="1">
        <v>0.56496199999999996</v>
      </c>
      <c r="O184" s="1">
        <v>188.05656400000001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115147.03</v>
      </c>
      <c r="Y184" s="1">
        <f t="shared" ca="1" si="2"/>
        <v>4178</v>
      </c>
      <c r="Z184" s="1">
        <f t="shared" ca="1" si="2"/>
        <v>5958</v>
      </c>
    </row>
    <row r="185" spans="2:26" x14ac:dyDescent="0.2">
      <c r="B185" s="1">
        <v>185</v>
      </c>
      <c r="C185" s="1">
        <v>187</v>
      </c>
      <c r="D185" s="1">
        <v>0</v>
      </c>
      <c r="E185" s="1">
        <v>190.06326300000001</v>
      </c>
      <c r="F185" s="1">
        <v>7.032</v>
      </c>
      <c r="G185" s="1">
        <v>5.8429000000000002E-2</v>
      </c>
      <c r="I185" s="1" t="s">
        <v>22</v>
      </c>
      <c r="J185" s="1" t="s">
        <v>151</v>
      </c>
      <c r="K185" s="1" t="s">
        <v>151</v>
      </c>
      <c r="L185" s="1" t="s">
        <v>152</v>
      </c>
      <c r="M185" s="1">
        <v>0.36799999999999999</v>
      </c>
      <c r="N185" s="1">
        <v>0.56197900000000001</v>
      </c>
      <c r="O185" s="1">
        <v>188.05656400000001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7180.71</v>
      </c>
      <c r="Y185" s="1">
        <f t="shared" ca="1" si="2"/>
        <v>3830</v>
      </c>
      <c r="Z185" s="1">
        <f t="shared" ca="1" si="2"/>
        <v>1643</v>
      </c>
    </row>
    <row r="186" spans="2:26" x14ac:dyDescent="0.2">
      <c r="B186" s="1">
        <v>188</v>
      </c>
      <c r="C186" s="1">
        <v>188</v>
      </c>
      <c r="D186" s="1">
        <v>17</v>
      </c>
      <c r="E186" s="1">
        <v>191.01989699999999</v>
      </c>
      <c r="F186" s="1">
        <v>9.532</v>
      </c>
      <c r="G186" s="1">
        <v>0.818743</v>
      </c>
      <c r="H186" s="1" t="s">
        <v>15</v>
      </c>
      <c r="I186" s="1" t="s">
        <v>16</v>
      </c>
      <c r="J186" s="1" t="s">
        <v>153</v>
      </c>
      <c r="K186" s="1" t="s">
        <v>153</v>
      </c>
      <c r="L186" s="1" t="s">
        <v>154</v>
      </c>
      <c r="M186" s="1">
        <v>0.45800000000000002</v>
      </c>
      <c r="N186" s="1">
        <v>0.87868800000000002</v>
      </c>
      <c r="O186" s="1">
        <v>191.01989699999999</v>
      </c>
      <c r="P186" s="2">
        <v>2597828.25</v>
      </c>
      <c r="Q186" s="2">
        <v>2752669.75</v>
      </c>
      <c r="R186" s="2">
        <v>6920058</v>
      </c>
      <c r="S186" s="2">
        <v>2422027</v>
      </c>
      <c r="T186" s="2">
        <v>3327702</v>
      </c>
      <c r="U186" s="2">
        <v>4383592.5</v>
      </c>
      <c r="V186" s="2">
        <v>18509542</v>
      </c>
      <c r="W186" s="2">
        <v>4305450.5</v>
      </c>
      <c r="X186" s="2">
        <v>1787918.62</v>
      </c>
      <c r="Y186" s="1">
        <f t="shared" ca="1" si="2"/>
        <v>5053</v>
      </c>
      <c r="Z186" s="1">
        <f t="shared" ca="1" si="2"/>
        <v>3690</v>
      </c>
    </row>
    <row r="187" spans="2:26" x14ac:dyDescent="0.2">
      <c r="B187" s="1">
        <v>188</v>
      </c>
      <c r="C187" s="1">
        <v>189</v>
      </c>
      <c r="D187" s="1">
        <v>0</v>
      </c>
      <c r="E187" s="1">
        <v>192.023224</v>
      </c>
      <c r="F187" s="1">
        <v>9.5350000000000001</v>
      </c>
      <c r="G187" s="1">
        <v>0.398341</v>
      </c>
      <c r="I187" s="1" t="s">
        <v>19</v>
      </c>
      <c r="J187" s="1" t="s">
        <v>153</v>
      </c>
      <c r="K187" s="1" t="s">
        <v>153</v>
      </c>
      <c r="L187" s="1" t="s">
        <v>154</v>
      </c>
      <c r="M187" s="1">
        <v>0.45500000000000002</v>
      </c>
      <c r="N187" s="1">
        <v>0.71516999999999997</v>
      </c>
      <c r="O187" s="1">
        <v>191.01989699999999</v>
      </c>
      <c r="P187" s="2">
        <v>139671.20000000001</v>
      </c>
      <c r="Q187" s="2">
        <v>160403.95000000001</v>
      </c>
      <c r="R187" s="2">
        <v>449384.75</v>
      </c>
      <c r="S187" s="2">
        <v>131125.10999999999</v>
      </c>
      <c r="T187" s="2">
        <v>198102.95</v>
      </c>
      <c r="U187" s="2">
        <v>298064.25</v>
      </c>
      <c r="V187" s="2">
        <v>1262754.6200000001</v>
      </c>
      <c r="W187" s="2">
        <v>282940.46999999997</v>
      </c>
      <c r="X187" s="2">
        <v>101971.13</v>
      </c>
      <c r="Y187" s="1">
        <f t="shared" ca="1" si="2"/>
        <v>5182</v>
      </c>
      <c r="Z187" s="1">
        <f t="shared" ca="1" si="2"/>
        <v>1434</v>
      </c>
    </row>
    <row r="188" spans="2:26" x14ac:dyDescent="0.2">
      <c r="B188" s="1">
        <v>188</v>
      </c>
      <c r="C188" s="1">
        <v>190</v>
      </c>
      <c r="D188" s="1">
        <v>1</v>
      </c>
      <c r="E188" s="1">
        <v>194.02989199999999</v>
      </c>
      <c r="F188" s="1">
        <v>9.5060000000000002</v>
      </c>
      <c r="G188" s="1">
        <v>0.57144799999999996</v>
      </c>
      <c r="I188" s="1" t="s">
        <v>23</v>
      </c>
      <c r="J188" s="1" t="s">
        <v>153</v>
      </c>
      <c r="K188" s="1" t="s">
        <v>153</v>
      </c>
      <c r="L188" s="1" t="s">
        <v>154</v>
      </c>
      <c r="M188" s="1">
        <v>0.48399999999999999</v>
      </c>
      <c r="N188" s="1">
        <v>0.55049000000000003</v>
      </c>
      <c r="O188" s="1">
        <v>191.01989699999999</v>
      </c>
      <c r="P188" s="2">
        <v>0</v>
      </c>
      <c r="Q188" s="2">
        <v>0</v>
      </c>
      <c r="R188" s="2">
        <v>3799.33</v>
      </c>
      <c r="S188" s="2">
        <v>2038.6</v>
      </c>
      <c r="T188" s="2">
        <v>5627.96</v>
      </c>
      <c r="U188" s="2">
        <v>9630.09</v>
      </c>
      <c r="V188" s="2">
        <v>0</v>
      </c>
      <c r="W188" s="2">
        <v>1525.12</v>
      </c>
      <c r="X188" s="2">
        <v>3342.24</v>
      </c>
      <c r="Y188" s="1">
        <f t="shared" ca="1" si="2"/>
        <v>7286</v>
      </c>
      <c r="Z188" s="1">
        <f t="shared" ca="1" si="2"/>
        <v>3286</v>
      </c>
    </row>
    <row r="189" spans="2:26" x14ac:dyDescent="0.2">
      <c r="B189" s="1">
        <v>191</v>
      </c>
      <c r="C189" s="1">
        <v>191</v>
      </c>
      <c r="D189" s="1">
        <v>18</v>
      </c>
      <c r="E189" s="1">
        <v>193.03543099999999</v>
      </c>
      <c r="F189" s="1">
        <v>7.2869999999999999</v>
      </c>
      <c r="G189" s="1">
        <v>0.85564499999999999</v>
      </c>
      <c r="H189" s="1" t="s">
        <v>15</v>
      </c>
      <c r="I189" s="1" t="s">
        <v>16</v>
      </c>
      <c r="J189" s="1" t="s">
        <v>155</v>
      </c>
      <c r="K189" s="1" t="s">
        <v>155</v>
      </c>
      <c r="L189" s="1" t="s">
        <v>156</v>
      </c>
      <c r="M189" s="1">
        <v>0.96299999999999997</v>
      </c>
      <c r="N189" s="1">
        <v>0.23713999999999999</v>
      </c>
      <c r="O189" s="1">
        <v>193.03543099999999</v>
      </c>
      <c r="P189" s="2">
        <v>439373.72</v>
      </c>
      <c r="Q189" s="2">
        <v>315224.78000000003</v>
      </c>
      <c r="R189" s="2">
        <v>569291</v>
      </c>
      <c r="S189" s="2">
        <v>226549.64</v>
      </c>
      <c r="T189" s="2">
        <v>421994.16</v>
      </c>
      <c r="U189" s="2">
        <v>690802.38</v>
      </c>
      <c r="V189" s="2">
        <v>31956.94</v>
      </c>
      <c r="W189" s="2">
        <v>27470.91</v>
      </c>
      <c r="X189" s="2">
        <v>1699745.38</v>
      </c>
      <c r="Y189" s="1">
        <f t="shared" ca="1" si="2"/>
        <v>3600</v>
      </c>
      <c r="Z189" s="1">
        <f t="shared" ca="1" si="2"/>
        <v>6982</v>
      </c>
    </row>
    <row r="190" spans="2:26" x14ac:dyDescent="0.2">
      <c r="B190" s="1">
        <v>191</v>
      </c>
      <c r="C190" s="1">
        <v>192</v>
      </c>
      <c r="D190" s="1">
        <v>8</v>
      </c>
      <c r="E190" s="1">
        <v>194.03883400000001</v>
      </c>
      <c r="F190" s="1">
        <v>7.2789999999999999</v>
      </c>
      <c r="G190" s="1">
        <v>0.82981300000000002</v>
      </c>
      <c r="I190" s="1" t="s">
        <v>19</v>
      </c>
      <c r="J190" s="1" t="s">
        <v>155</v>
      </c>
      <c r="K190" s="1" t="s">
        <v>155</v>
      </c>
      <c r="L190" s="1" t="s">
        <v>156</v>
      </c>
      <c r="M190" s="1">
        <v>0.97099999999999997</v>
      </c>
      <c r="N190" s="1">
        <v>0.55046499999999998</v>
      </c>
      <c r="O190" s="1">
        <v>193.03543099999999</v>
      </c>
      <c r="P190" s="2">
        <v>26608.82</v>
      </c>
      <c r="Q190" s="2">
        <v>18051.060000000001</v>
      </c>
      <c r="R190" s="2">
        <v>38163.19</v>
      </c>
      <c r="S190" s="2">
        <v>12030.58</v>
      </c>
      <c r="T190" s="2">
        <v>28032.86</v>
      </c>
      <c r="U190" s="2">
        <v>46802.58</v>
      </c>
      <c r="V190" s="2">
        <v>0</v>
      </c>
      <c r="W190" s="2">
        <v>0</v>
      </c>
      <c r="X190" s="2">
        <v>72775.98</v>
      </c>
      <c r="Y190" s="1">
        <f t="shared" ca="1" si="2"/>
        <v>1204</v>
      </c>
      <c r="Z190" s="1">
        <f t="shared" ca="1" si="2"/>
        <v>1151</v>
      </c>
    </row>
    <row r="191" spans="2:26" x14ac:dyDescent="0.2">
      <c r="B191" s="1">
        <v>191</v>
      </c>
      <c r="C191" s="1">
        <v>193</v>
      </c>
      <c r="D191" s="1">
        <v>0</v>
      </c>
      <c r="E191" s="1">
        <v>196.04541</v>
      </c>
      <c r="F191" s="1">
        <v>7.3209999999999997</v>
      </c>
      <c r="G191" s="1">
        <v>5.6344999999999999E-2</v>
      </c>
      <c r="I191" s="1" t="s">
        <v>23</v>
      </c>
      <c r="J191" s="1" t="s">
        <v>155</v>
      </c>
      <c r="K191" s="1" t="s">
        <v>155</v>
      </c>
      <c r="L191" s="1" t="s">
        <v>156</v>
      </c>
      <c r="M191" s="1">
        <v>0.92900000000000005</v>
      </c>
      <c r="N191" s="1">
        <v>0.155666</v>
      </c>
      <c r="O191" s="1">
        <v>193.03543099999999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4474.8</v>
      </c>
      <c r="Y191" s="1">
        <f t="shared" ca="1" si="2"/>
        <v>2056</v>
      </c>
      <c r="Z191" s="1">
        <f t="shared" ca="1" si="2"/>
        <v>7000</v>
      </c>
    </row>
    <row r="192" spans="2:26" x14ac:dyDescent="0.2">
      <c r="B192" s="1">
        <v>191</v>
      </c>
      <c r="C192" s="1">
        <v>194</v>
      </c>
      <c r="D192" s="1">
        <v>1</v>
      </c>
      <c r="E192" s="1">
        <v>199.05549600000001</v>
      </c>
      <c r="F192" s="1">
        <v>7.3410000000000002</v>
      </c>
      <c r="G192" s="1">
        <v>0.661188</v>
      </c>
      <c r="I192" s="1" t="s">
        <v>90</v>
      </c>
      <c r="J192" s="1" t="s">
        <v>155</v>
      </c>
      <c r="K192" s="1" t="s">
        <v>155</v>
      </c>
      <c r="L192" s="1" t="s">
        <v>156</v>
      </c>
      <c r="M192" s="1">
        <v>0.90900000000000003</v>
      </c>
      <c r="N192" s="1">
        <v>7.6656000000000002E-2</v>
      </c>
      <c r="O192" s="1">
        <v>193.03543099999999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15194.79</v>
      </c>
      <c r="Y192" s="1">
        <f t="shared" ca="1" si="2"/>
        <v>7154</v>
      </c>
      <c r="Z192" s="1">
        <f t="shared" ca="1" si="2"/>
        <v>5634</v>
      </c>
    </row>
    <row r="193" spans="2:26" x14ac:dyDescent="0.2">
      <c r="B193" s="1">
        <v>195</v>
      </c>
      <c r="C193" s="1">
        <v>195</v>
      </c>
      <c r="D193" s="1">
        <v>13</v>
      </c>
      <c r="E193" s="1">
        <v>193.07174699999999</v>
      </c>
      <c r="F193" s="1">
        <v>3.2450000000000001</v>
      </c>
      <c r="G193" s="1">
        <v>0.85197299999999998</v>
      </c>
      <c r="H193" s="1" t="s">
        <v>15</v>
      </c>
      <c r="I193" s="1" t="s">
        <v>16</v>
      </c>
      <c r="J193" s="1" t="s">
        <v>157</v>
      </c>
      <c r="K193" s="1" t="s">
        <v>157</v>
      </c>
      <c r="L193" s="1" t="s">
        <v>158</v>
      </c>
      <c r="M193" s="1">
        <v>0.34499999999999997</v>
      </c>
      <c r="N193" s="1">
        <v>7.9032000000000005E-2</v>
      </c>
      <c r="O193" s="1">
        <v>193.07174699999999</v>
      </c>
      <c r="P193" s="2">
        <v>121639.06</v>
      </c>
      <c r="Q193" s="2">
        <v>25182.65</v>
      </c>
      <c r="R193" s="2">
        <v>116716.22</v>
      </c>
      <c r="S193" s="2">
        <v>74774</v>
      </c>
      <c r="T193" s="2">
        <v>124400.47</v>
      </c>
      <c r="U193" s="2">
        <v>171366.33</v>
      </c>
      <c r="V193" s="2">
        <v>29998.880000000001</v>
      </c>
      <c r="W193" s="2">
        <v>4448.16</v>
      </c>
      <c r="X193" s="2">
        <v>44055.96</v>
      </c>
      <c r="Y193" s="1">
        <f t="shared" ca="1" si="2"/>
        <v>7629</v>
      </c>
      <c r="Z193" s="1">
        <f t="shared" ca="1" si="2"/>
        <v>4282</v>
      </c>
    </row>
    <row r="194" spans="2:26" x14ac:dyDescent="0.2">
      <c r="B194" s="1">
        <v>195</v>
      </c>
      <c r="C194" s="1">
        <v>196</v>
      </c>
      <c r="D194" s="1">
        <v>0</v>
      </c>
      <c r="E194" s="1">
        <v>194.07515000000001</v>
      </c>
      <c r="F194" s="1">
        <v>3.246</v>
      </c>
      <c r="G194" s="1">
        <v>6.2202E-2</v>
      </c>
      <c r="I194" s="1" t="s">
        <v>19</v>
      </c>
      <c r="J194" s="1" t="s">
        <v>157</v>
      </c>
      <c r="K194" s="1" t="s">
        <v>157</v>
      </c>
      <c r="L194" s="1" t="s">
        <v>158</v>
      </c>
      <c r="M194" s="1">
        <v>0.34399999999999997</v>
      </c>
      <c r="N194" s="1">
        <v>0.157246</v>
      </c>
      <c r="O194" s="1">
        <v>193.07174699999999</v>
      </c>
      <c r="P194" s="2">
        <v>0</v>
      </c>
      <c r="Q194" s="2">
        <v>0</v>
      </c>
      <c r="R194" s="2">
        <v>0</v>
      </c>
      <c r="S194" s="2">
        <v>0</v>
      </c>
      <c r="T194" s="2">
        <v>5679.26</v>
      </c>
      <c r="U194" s="2">
        <v>7493.37</v>
      </c>
      <c r="V194" s="2">
        <v>0</v>
      </c>
      <c r="W194" s="2">
        <v>0</v>
      </c>
      <c r="X194" s="2">
        <v>0</v>
      </c>
      <c r="Y194" s="1">
        <f t="shared" ca="1" si="2"/>
        <v>2380</v>
      </c>
      <c r="Z194" s="1">
        <f t="shared" ca="1" si="2"/>
        <v>6609</v>
      </c>
    </row>
    <row r="195" spans="2:26" x14ac:dyDescent="0.2">
      <c r="B195" s="1">
        <v>197</v>
      </c>
      <c r="C195" s="1">
        <v>197</v>
      </c>
      <c r="D195" s="1">
        <v>18</v>
      </c>
      <c r="E195" s="1">
        <v>195.051086</v>
      </c>
      <c r="F195" s="1">
        <v>6.49</v>
      </c>
      <c r="G195" s="1">
        <v>0.78214600000000001</v>
      </c>
      <c r="H195" s="1" t="s">
        <v>15</v>
      </c>
      <c r="I195" s="1" t="s">
        <v>16</v>
      </c>
      <c r="J195" s="1" t="s">
        <v>159</v>
      </c>
      <c r="K195" s="1" t="s">
        <v>159</v>
      </c>
      <c r="L195" s="1" t="s">
        <v>160</v>
      </c>
      <c r="M195" s="1">
        <v>0.65</v>
      </c>
      <c r="N195" s="1">
        <v>0.312919</v>
      </c>
      <c r="O195" s="1">
        <v>195.051086</v>
      </c>
      <c r="P195" s="2">
        <v>482898.41</v>
      </c>
      <c r="Q195" s="2">
        <v>477146.09</v>
      </c>
      <c r="R195" s="2">
        <v>1152273.8799999999</v>
      </c>
      <c r="S195" s="2">
        <v>758473.81</v>
      </c>
      <c r="T195" s="2">
        <v>1352564.38</v>
      </c>
      <c r="U195" s="2">
        <v>2986512</v>
      </c>
      <c r="V195" s="2">
        <v>646754.56000000006</v>
      </c>
      <c r="W195" s="2">
        <v>396621.91</v>
      </c>
      <c r="X195" s="2">
        <v>41856796</v>
      </c>
      <c r="Y195" s="1">
        <f t="shared" ref="Y195:Z243" ca="1" si="3">RANDBETWEEN(1000, 8000)</f>
        <v>7069</v>
      </c>
      <c r="Z195" s="1">
        <f t="shared" ca="1" si="3"/>
        <v>5117</v>
      </c>
    </row>
    <row r="196" spans="2:26" x14ac:dyDescent="0.2">
      <c r="B196" s="1">
        <v>197</v>
      </c>
      <c r="C196" s="1">
        <v>198</v>
      </c>
      <c r="D196" s="1">
        <v>2</v>
      </c>
      <c r="E196" s="1">
        <v>198.06115700000001</v>
      </c>
      <c r="F196" s="1">
        <v>6.4660000000000002</v>
      </c>
      <c r="G196" s="1">
        <v>0.77147100000000002</v>
      </c>
      <c r="I196" s="1" t="s">
        <v>23</v>
      </c>
      <c r="J196" s="1" t="s">
        <v>159</v>
      </c>
      <c r="K196" s="1" t="s">
        <v>159</v>
      </c>
      <c r="L196" s="1" t="s">
        <v>160</v>
      </c>
      <c r="M196" s="1">
        <v>0.67400000000000004</v>
      </c>
      <c r="N196" s="1">
        <v>0.30816300000000002</v>
      </c>
      <c r="O196" s="1">
        <v>195.051086</v>
      </c>
      <c r="P196" s="2">
        <v>0</v>
      </c>
      <c r="Q196" s="2">
        <v>0</v>
      </c>
      <c r="R196" s="2">
        <v>0</v>
      </c>
      <c r="S196" s="2">
        <v>0</v>
      </c>
      <c r="T196" s="2">
        <v>6448.63</v>
      </c>
      <c r="U196" s="2">
        <v>17296.490000000002</v>
      </c>
      <c r="V196" s="2">
        <v>0</v>
      </c>
      <c r="W196" s="2">
        <v>0</v>
      </c>
      <c r="X196" s="2">
        <v>232903.61</v>
      </c>
      <c r="Y196" s="1">
        <f t="shared" ca="1" si="3"/>
        <v>7518</v>
      </c>
      <c r="Z196" s="1">
        <f t="shared" ca="1" si="3"/>
        <v>5974</v>
      </c>
    </row>
    <row r="197" spans="2:26" x14ac:dyDescent="0.2">
      <c r="B197" s="1">
        <v>197</v>
      </c>
      <c r="C197" s="1">
        <v>199</v>
      </c>
      <c r="D197" s="1">
        <v>1</v>
      </c>
      <c r="E197" s="1">
        <v>199.06445299999999</v>
      </c>
      <c r="F197" s="1">
        <v>6.5460000000000003</v>
      </c>
      <c r="G197" s="1">
        <v>0.75070700000000001</v>
      </c>
      <c r="I197" s="1" t="s">
        <v>59</v>
      </c>
      <c r="J197" s="1" t="s">
        <v>159</v>
      </c>
      <c r="K197" s="1" t="s">
        <v>159</v>
      </c>
      <c r="L197" s="1" t="s">
        <v>160</v>
      </c>
      <c r="M197" s="1">
        <v>0.59399999999999997</v>
      </c>
      <c r="N197" s="1">
        <v>0</v>
      </c>
      <c r="O197" s="1">
        <v>195.051086</v>
      </c>
      <c r="P197" s="2">
        <v>0</v>
      </c>
      <c r="Q197" s="2">
        <v>0</v>
      </c>
      <c r="R197" s="2">
        <v>0</v>
      </c>
      <c r="S197" s="2">
        <v>0</v>
      </c>
      <c r="T197" s="2">
        <v>1819.22</v>
      </c>
      <c r="U197" s="2">
        <v>1924.05</v>
      </c>
      <c r="V197" s="2">
        <v>0</v>
      </c>
      <c r="W197" s="2">
        <v>0</v>
      </c>
      <c r="X197" s="2">
        <v>68431.649999999994</v>
      </c>
      <c r="Y197" s="1">
        <f t="shared" ca="1" si="3"/>
        <v>6402</v>
      </c>
      <c r="Z197" s="1">
        <f t="shared" ca="1" si="3"/>
        <v>1676</v>
      </c>
    </row>
    <row r="198" spans="2:26" x14ac:dyDescent="0.2">
      <c r="B198" s="1">
        <v>197</v>
      </c>
      <c r="C198" s="1">
        <v>200</v>
      </c>
      <c r="D198" s="1">
        <v>2</v>
      </c>
      <c r="E198" s="1">
        <v>201.07128900000001</v>
      </c>
      <c r="F198" s="1">
        <v>6.5110000000000001</v>
      </c>
      <c r="G198" s="1">
        <v>0.73753299999999999</v>
      </c>
      <c r="I198" s="1" t="s">
        <v>90</v>
      </c>
      <c r="J198" s="1" t="s">
        <v>159</v>
      </c>
      <c r="K198" s="1" t="s">
        <v>159</v>
      </c>
      <c r="L198" s="1" t="s">
        <v>160</v>
      </c>
      <c r="M198" s="1">
        <v>0.629</v>
      </c>
      <c r="N198" s="1">
        <v>0.68298800000000004</v>
      </c>
      <c r="O198" s="1">
        <v>195.051086</v>
      </c>
      <c r="P198" s="2">
        <v>0</v>
      </c>
      <c r="Q198" s="2">
        <v>0</v>
      </c>
      <c r="R198" s="2">
        <v>1768.22</v>
      </c>
      <c r="S198" s="2">
        <v>2834.49</v>
      </c>
      <c r="T198" s="2">
        <v>11973.48</v>
      </c>
      <c r="U198" s="2">
        <v>25231.18</v>
      </c>
      <c r="V198" s="2">
        <v>0</v>
      </c>
      <c r="W198" s="2">
        <v>0</v>
      </c>
      <c r="X198" s="2">
        <v>530352.31000000006</v>
      </c>
      <c r="Y198" s="1">
        <f t="shared" ca="1" si="3"/>
        <v>2307</v>
      </c>
      <c r="Z198" s="1">
        <f t="shared" ca="1" si="3"/>
        <v>4917</v>
      </c>
    </row>
    <row r="199" spans="2:26" x14ac:dyDescent="0.2">
      <c r="B199" s="1">
        <v>201</v>
      </c>
      <c r="C199" s="1">
        <v>201</v>
      </c>
      <c r="D199" s="1">
        <v>18</v>
      </c>
      <c r="E199" s="1">
        <v>203.08265700000001</v>
      </c>
      <c r="F199" s="1">
        <v>3.419</v>
      </c>
      <c r="G199" s="1">
        <v>0.836422</v>
      </c>
      <c r="H199" s="1" t="s">
        <v>15</v>
      </c>
      <c r="I199" s="1" t="s">
        <v>16</v>
      </c>
      <c r="J199" s="1" t="s">
        <v>161</v>
      </c>
      <c r="K199" s="1" t="s">
        <v>161</v>
      </c>
      <c r="L199" s="1" t="s">
        <v>162</v>
      </c>
      <c r="M199" s="1">
        <v>0.28100000000000003</v>
      </c>
      <c r="N199" s="1">
        <v>0.30054399999999998</v>
      </c>
      <c r="O199" s="1">
        <v>203.08265700000001</v>
      </c>
      <c r="P199" s="2">
        <v>9627665</v>
      </c>
      <c r="Q199" s="2">
        <v>2403211.75</v>
      </c>
      <c r="R199" s="2">
        <v>6944440.5</v>
      </c>
      <c r="S199" s="2">
        <v>3882860.75</v>
      </c>
      <c r="T199" s="2">
        <v>5117932.5</v>
      </c>
      <c r="U199" s="2">
        <v>6543726.5</v>
      </c>
      <c r="V199" s="2">
        <v>650905.56000000006</v>
      </c>
      <c r="W199" s="2">
        <v>484176.75</v>
      </c>
      <c r="X199" s="2">
        <v>1067885</v>
      </c>
      <c r="Y199" s="1">
        <f t="shared" ca="1" si="3"/>
        <v>7487</v>
      </c>
      <c r="Z199" s="1">
        <f t="shared" ca="1" si="3"/>
        <v>1663</v>
      </c>
    </row>
    <row r="200" spans="2:26" x14ac:dyDescent="0.2">
      <c r="B200" s="1">
        <v>201</v>
      </c>
      <c r="C200" s="1">
        <v>202</v>
      </c>
      <c r="D200" s="1">
        <v>15</v>
      </c>
      <c r="E200" s="1">
        <v>204.08599899999999</v>
      </c>
      <c r="F200" s="1">
        <v>3.4239999999999999</v>
      </c>
      <c r="G200" s="1">
        <v>0.83951299999999995</v>
      </c>
      <c r="I200" s="1" t="s">
        <v>19</v>
      </c>
      <c r="J200" s="1" t="s">
        <v>161</v>
      </c>
      <c r="K200" s="1" t="s">
        <v>161</v>
      </c>
      <c r="L200" s="1" t="s">
        <v>162</v>
      </c>
      <c r="M200" s="1">
        <v>0.27600000000000002</v>
      </c>
      <c r="N200" s="1">
        <v>0.224299</v>
      </c>
      <c r="O200" s="1">
        <v>203.08265700000001</v>
      </c>
      <c r="P200" s="2">
        <v>1021679.69</v>
      </c>
      <c r="Q200" s="2">
        <v>239589.55</v>
      </c>
      <c r="R200" s="2">
        <v>739139.25</v>
      </c>
      <c r="S200" s="2">
        <v>411137.72</v>
      </c>
      <c r="T200" s="2">
        <v>459593.75</v>
      </c>
      <c r="U200" s="2">
        <v>692489.06</v>
      </c>
      <c r="V200" s="2">
        <v>63354.41</v>
      </c>
      <c r="W200" s="2">
        <v>55956.26</v>
      </c>
      <c r="X200" s="2">
        <v>119844.34</v>
      </c>
      <c r="Y200" s="1">
        <f t="shared" ca="1" si="3"/>
        <v>5334</v>
      </c>
      <c r="Z200" s="1">
        <f t="shared" ca="1" si="3"/>
        <v>2896</v>
      </c>
    </row>
    <row r="201" spans="2:26" x14ac:dyDescent="0.2">
      <c r="B201" s="1">
        <v>201</v>
      </c>
      <c r="C201" s="1">
        <v>203</v>
      </c>
      <c r="D201" s="1">
        <v>7</v>
      </c>
      <c r="E201" s="1">
        <v>205.08940100000001</v>
      </c>
      <c r="F201" s="1">
        <v>3.4</v>
      </c>
      <c r="G201" s="1">
        <v>0.77154</v>
      </c>
      <c r="I201" s="1" t="s">
        <v>22</v>
      </c>
      <c r="J201" s="1" t="s">
        <v>161</v>
      </c>
      <c r="K201" s="1" t="s">
        <v>161</v>
      </c>
      <c r="L201" s="1" t="s">
        <v>162</v>
      </c>
      <c r="M201" s="1">
        <v>0.3</v>
      </c>
      <c r="N201" s="1">
        <v>0.44640400000000002</v>
      </c>
      <c r="O201" s="1">
        <v>203.08265700000001</v>
      </c>
      <c r="P201" s="2">
        <v>39734.86</v>
      </c>
      <c r="Q201" s="2">
        <v>7829.63</v>
      </c>
      <c r="R201" s="2">
        <v>30114.74</v>
      </c>
      <c r="S201" s="2">
        <v>11698.36</v>
      </c>
      <c r="T201" s="2">
        <v>23158.51</v>
      </c>
      <c r="U201" s="2">
        <v>32616.06</v>
      </c>
      <c r="V201" s="2">
        <v>0</v>
      </c>
      <c r="W201" s="2">
        <v>0</v>
      </c>
      <c r="X201" s="2">
        <v>0</v>
      </c>
      <c r="Y201" s="1">
        <f t="shared" ca="1" si="3"/>
        <v>3028</v>
      </c>
      <c r="Z201" s="1">
        <f t="shared" ca="1" si="3"/>
        <v>2489</v>
      </c>
    </row>
    <row r="202" spans="2:26" x14ac:dyDescent="0.2">
      <c r="B202" s="1">
        <v>201</v>
      </c>
      <c r="C202" s="1">
        <v>204</v>
      </c>
      <c r="D202" s="1">
        <v>0</v>
      </c>
      <c r="E202" s="1">
        <v>206.09350599999999</v>
      </c>
      <c r="F202" s="1">
        <v>3.32</v>
      </c>
      <c r="G202" s="1">
        <v>5.4847E-2</v>
      </c>
      <c r="I202" s="1" t="s">
        <v>23</v>
      </c>
      <c r="J202" s="1" t="s">
        <v>161</v>
      </c>
      <c r="K202" s="1" t="s">
        <v>161</v>
      </c>
      <c r="L202" s="1" t="s">
        <v>162</v>
      </c>
      <c r="M202" s="1">
        <v>0.38</v>
      </c>
      <c r="N202" s="1">
        <v>4.0721170000000004</v>
      </c>
      <c r="O202" s="1">
        <v>203.08265700000001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1">
        <f t="shared" ca="1" si="3"/>
        <v>6472</v>
      </c>
      <c r="Z202" s="1">
        <f t="shared" ca="1" si="3"/>
        <v>1272</v>
      </c>
    </row>
    <row r="203" spans="2:26" x14ac:dyDescent="0.2">
      <c r="B203" s="1">
        <v>205</v>
      </c>
      <c r="C203" s="1">
        <v>205</v>
      </c>
      <c r="D203" s="1">
        <v>17</v>
      </c>
      <c r="E203" s="1">
        <v>210.02868699999999</v>
      </c>
      <c r="F203" s="1">
        <v>8.8450000000000006</v>
      </c>
      <c r="G203" s="1">
        <v>0.85074399999999994</v>
      </c>
      <c r="H203" s="1" t="s">
        <v>15</v>
      </c>
      <c r="I203" s="1" t="s">
        <v>16</v>
      </c>
      <c r="J203" s="1" t="s">
        <v>163</v>
      </c>
      <c r="K203" s="1" t="s">
        <v>163</v>
      </c>
      <c r="L203" s="1" t="s">
        <v>164</v>
      </c>
      <c r="M203" s="1">
        <v>0.22500000000000001</v>
      </c>
      <c r="N203" s="1">
        <v>0.72650999999999999</v>
      </c>
      <c r="O203" s="1">
        <v>210.02868699999999</v>
      </c>
      <c r="P203" s="2">
        <v>74513.429999999993</v>
      </c>
      <c r="Q203" s="2">
        <v>48291.58</v>
      </c>
      <c r="R203" s="2">
        <v>248436.83</v>
      </c>
      <c r="S203" s="2">
        <v>98144.66</v>
      </c>
      <c r="T203" s="2">
        <v>23727.27</v>
      </c>
      <c r="U203" s="2">
        <v>75339.320000000007</v>
      </c>
      <c r="V203" s="2">
        <v>98295368</v>
      </c>
      <c r="W203" s="2">
        <v>13345656</v>
      </c>
      <c r="X203" s="2">
        <v>19852.580000000002</v>
      </c>
      <c r="Y203" s="1">
        <f t="shared" ca="1" si="3"/>
        <v>5307</v>
      </c>
      <c r="Z203" s="1">
        <f t="shared" ca="1" si="3"/>
        <v>6722</v>
      </c>
    </row>
    <row r="204" spans="2:26" x14ac:dyDescent="0.2">
      <c r="B204" s="1">
        <v>205</v>
      </c>
      <c r="C204" s="1">
        <v>206</v>
      </c>
      <c r="D204" s="1">
        <v>4</v>
      </c>
      <c r="E204" s="1">
        <v>211.03201300000001</v>
      </c>
      <c r="F204" s="1">
        <v>8.8510000000000009</v>
      </c>
      <c r="G204" s="1">
        <v>0.68383400000000005</v>
      </c>
      <c r="I204" s="1" t="s">
        <v>19</v>
      </c>
      <c r="J204" s="1" t="s">
        <v>163</v>
      </c>
      <c r="K204" s="1" t="s">
        <v>163</v>
      </c>
      <c r="L204" s="1" t="s">
        <v>164</v>
      </c>
      <c r="M204" s="1">
        <v>0.219</v>
      </c>
      <c r="N204" s="1">
        <v>0.57844499999999999</v>
      </c>
      <c r="O204" s="1">
        <v>210.02868699999999</v>
      </c>
      <c r="P204" s="2">
        <v>0</v>
      </c>
      <c r="Q204" s="2">
        <v>0</v>
      </c>
      <c r="R204" s="2">
        <v>9624.01</v>
      </c>
      <c r="S204" s="2">
        <v>1727.42</v>
      </c>
      <c r="T204" s="2">
        <v>0</v>
      </c>
      <c r="U204" s="2">
        <v>0</v>
      </c>
      <c r="V204" s="2">
        <v>4373976.5</v>
      </c>
      <c r="W204" s="2">
        <v>528343.56000000006</v>
      </c>
      <c r="X204" s="2">
        <v>0</v>
      </c>
      <c r="Y204" s="1">
        <f t="shared" ca="1" si="3"/>
        <v>5215</v>
      </c>
      <c r="Z204" s="1">
        <f t="shared" ca="1" si="3"/>
        <v>4280</v>
      </c>
    </row>
    <row r="205" spans="2:26" x14ac:dyDescent="0.2">
      <c r="B205" s="1">
        <v>205</v>
      </c>
      <c r="C205" s="1">
        <v>207</v>
      </c>
      <c r="D205" s="1">
        <v>0</v>
      </c>
      <c r="E205" s="1">
        <v>212.03529399999999</v>
      </c>
      <c r="F205" s="1">
        <v>8.8689999999999998</v>
      </c>
      <c r="G205" s="1">
        <v>6.4943000000000001E-2</v>
      </c>
      <c r="I205" s="1" t="s">
        <v>22</v>
      </c>
      <c r="J205" s="1" t="s">
        <v>163</v>
      </c>
      <c r="K205" s="1" t="s">
        <v>163</v>
      </c>
      <c r="L205" s="1" t="s">
        <v>164</v>
      </c>
      <c r="M205" s="1">
        <v>0.20100000000000001</v>
      </c>
      <c r="N205" s="1">
        <v>0.21589</v>
      </c>
      <c r="O205" s="1">
        <v>210.02868699999999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14298.34</v>
      </c>
      <c r="W205" s="2">
        <v>0</v>
      </c>
      <c r="X205" s="2">
        <v>0</v>
      </c>
      <c r="Y205" s="1">
        <f t="shared" ca="1" si="3"/>
        <v>4555</v>
      </c>
      <c r="Z205" s="1">
        <f t="shared" ca="1" si="3"/>
        <v>6693</v>
      </c>
    </row>
    <row r="206" spans="2:26" x14ac:dyDescent="0.2">
      <c r="B206" s="1">
        <v>208</v>
      </c>
      <c r="C206" s="1">
        <v>208</v>
      </c>
      <c r="D206" s="1">
        <v>18</v>
      </c>
      <c r="E206" s="1">
        <v>218.10351600000001</v>
      </c>
      <c r="F206" s="1">
        <v>3.5369999999999999</v>
      </c>
      <c r="G206" s="1">
        <v>0.85532900000000001</v>
      </c>
      <c r="H206" s="1" t="s">
        <v>15</v>
      </c>
      <c r="I206" s="1" t="s">
        <v>16</v>
      </c>
      <c r="J206" s="1" t="s">
        <v>165</v>
      </c>
      <c r="K206" s="1" t="s">
        <v>165</v>
      </c>
      <c r="L206" s="1" t="s">
        <v>166</v>
      </c>
      <c r="M206" s="1">
        <v>0.193</v>
      </c>
      <c r="N206" s="1">
        <v>0.55969000000000002</v>
      </c>
      <c r="O206" s="1">
        <v>218.10351600000001</v>
      </c>
      <c r="P206" s="2">
        <v>778733.69</v>
      </c>
      <c r="Q206" s="2">
        <v>347673.91</v>
      </c>
      <c r="R206" s="2">
        <v>774611.56</v>
      </c>
      <c r="S206" s="2">
        <v>375317.78</v>
      </c>
      <c r="T206" s="2">
        <v>380577.03</v>
      </c>
      <c r="U206" s="2">
        <v>652196.93999999994</v>
      </c>
      <c r="V206" s="2">
        <v>1257169.1200000001</v>
      </c>
      <c r="W206" s="2">
        <v>4639303.5</v>
      </c>
      <c r="X206" s="2">
        <v>324285.40999999997</v>
      </c>
      <c r="Y206" s="1">
        <f t="shared" ca="1" si="3"/>
        <v>7392</v>
      </c>
      <c r="Z206" s="1">
        <f t="shared" ca="1" si="3"/>
        <v>1686</v>
      </c>
    </row>
    <row r="207" spans="2:26" x14ac:dyDescent="0.2">
      <c r="B207" s="1">
        <v>208</v>
      </c>
      <c r="C207" s="1">
        <v>209</v>
      </c>
      <c r="D207" s="1">
        <v>14</v>
      </c>
      <c r="E207" s="1">
        <v>219.106888</v>
      </c>
      <c r="F207" s="1">
        <v>3.5289999999999999</v>
      </c>
      <c r="G207" s="1">
        <v>0.83509500000000003</v>
      </c>
      <c r="I207" s="1" t="s">
        <v>19</v>
      </c>
      <c r="J207" s="1" t="s">
        <v>165</v>
      </c>
      <c r="K207" s="1" t="s">
        <v>165</v>
      </c>
      <c r="L207" s="1" t="s">
        <v>166</v>
      </c>
      <c r="M207" s="1">
        <v>0.20100000000000001</v>
      </c>
      <c r="N207" s="1">
        <v>0.62676799999999999</v>
      </c>
      <c r="O207" s="1">
        <v>218.10351600000001</v>
      </c>
      <c r="P207" s="2">
        <v>58507.77</v>
      </c>
      <c r="Q207" s="2">
        <v>27702.68</v>
      </c>
      <c r="R207" s="2">
        <v>59816.86</v>
      </c>
      <c r="S207" s="2">
        <v>38102.92</v>
      </c>
      <c r="T207" s="2">
        <v>48945.67</v>
      </c>
      <c r="U207" s="2">
        <v>55858.83</v>
      </c>
      <c r="V207" s="2">
        <v>89951.29</v>
      </c>
      <c r="W207" s="2">
        <v>361481.59</v>
      </c>
      <c r="X207" s="2">
        <v>19992.599999999999</v>
      </c>
      <c r="Y207" s="1">
        <f t="shared" ca="1" si="3"/>
        <v>4842</v>
      </c>
      <c r="Z207" s="1">
        <f t="shared" ca="1" si="3"/>
        <v>1277</v>
      </c>
    </row>
    <row r="208" spans="2:26" x14ac:dyDescent="0.2">
      <c r="B208" s="1">
        <v>208</v>
      </c>
      <c r="C208" s="1">
        <v>210</v>
      </c>
      <c r="D208" s="1">
        <v>0</v>
      </c>
      <c r="E208" s="1">
        <v>220.110489</v>
      </c>
      <c r="F208" s="1">
        <v>3.5390000000000001</v>
      </c>
      <c r="G208" s="1">
        <v>6.1453000000000001E-2</v>
      </c>
      <c r="I208" s="1" t="s">
        <v>22</v>
      </c>
      <c r="J208" s="1" t="s">
        <v>165</v>
      </c>
      <c r="K208" s="1" t="s">
        <v>165</v>
      </c>
      <c r="L208" s="1" t="s">
        <v>166</v>
      </c>
      <c r="M208" s="1">
        <v>0.191</v>
      </c>
      <c r="N208" s="1">
        <v>1.7330859999999999</v>
      </c>
      <c r="O208" s="1">
        <v>218.10351600000001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12021.27</v>
      </c>
      <c r="X208" s="2">
        <v>0</v>
      </c>
      <c r="Y208" s="1">
        <f t="shared" ca="1" si="3"/>
        <v>2973</v>
      </c>
      <c r="Z208" s="1">
        <f t="shared" ca="1" si="3"/>
        <v>3476</v>
      </c>
    </row>
    <row r="209" spans="2:26" x14ac:dyDescent="0.2">
      <c r="B209" s="1">
        <v>208</v>
      </c>
      <c r="C209" s="1">
        <v>211</v>
      </c>
      <c r="D209" s="1">
        <v>0</v>
      </c>
      <c r="E209" s="1">
        <v>221.11442600000001</v>
      </c>
      <c r="F209" s="1">
        <v>3.4630000000000001</v>
      </c>
      <c r="G209" s="1">
        <v>5.9761000000000002E-2</v>
      </c>
      <c r="I209" s="1" t="s">
        <v>23</v>
      </c>
      <c r="J209" s="1" t="s">
        <v>165</v>
      </c>
      <c r="K209" s="1" t="s">
        <v>165</v>
      </c>
      <c r="L209" s="1" t="s">
        <v>166</v>
      </c>
      <c r="M209" s="1">
        <v>0.26700000000000002</v>
      </c>
      <c r="N209" s="1">
        <v>4.3475580000000003</v>
      </c>
      <c r="O209" s="1">
        <v>218.10351600000001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4461.7299999999996</v>
      </c>
      <c r="Y209" s="1">
        <f t="shared" ca="1" si="3"/>
        <v>1002</v>
      </c>
      <c r="Z209" s="1">
        <f t="shared" ca="1" si="3"/>
        <v>2804</v>
      </c>
    </row>
    <row r="210" spans="2:26" x14ac:dyDescent="0.2">
      <c r="B210" s="1">
        <v>212</v>
      </c>
      <c r="C210" s="1">
        <v>212</v>
      </c>
      <c r="D210" s="1">
        <v>10</v>
      </c>
      <c r="E210" s="1">
        <v>225.09953300000001</v>
      </c>
      <c r="F210" s="1">
        <v>8.6950000000000003</v>
      </c>
      <c r="G210" s="1">
        <v>0.85069700000000004</v>
      </c>
      <c r="H210" s="1" t="s">
        <v>15</v>
      </c>
      <c r="I210" s="1" t="s">
        <v>16</v>
      </c>
      <c r="J210" s="1" t="s">
        <v>167</v>
      </c>
      <c r="K210" s="1" t="s">
        <v>167</v>
      </c>
      <c r="L210" s="1" t="s">
        <v>168</v>
      </c>
      <c r="M210" s="1">
        <v>6.5000000000000002E-2</v>
      </c>
      <c r="N210" s="1">
        <v>0.949017</v>
      </c>
      <c r="O210" s="1">
        <v>225.09953300000001</v>
      </c>
      <c r="P210" s="2">
        <v>11379.73</v>
      </c>
      <c r="Q210" s="2">
        <v>5857.47</v>
      </c>
      <c r="R210" s="2">
        <v>38264.69</v>
      </c>
      <c r="S210" s="2">
        <v>10431.74</v>
      </c>
      <c r="T210" s="2">
        <v>3864.57</v>
      </c>
      <c r="U210" s="2">
        <v>309457.15999999997</v>
      </c>
      <c r="V210" s="2">
        <v>61875828</v>
      </c>
      <c r="W210" s="2">
        <v>33063848</v>
      </c>
      <c r="X210" s="2">
        <v>2636.25</v>
      </c>
      <c r="Y210" s="1">
        <f t="shared" ca="1" si="3"/>
        <v>7585</v>
      </c>
      <c r="Z210" s="1">
        <f t="shared" ca="1" si="3"/>
        <v>4274</v>
      </c>
    </row>
    <row r="211" spans="2:26" x14ac:dyDescent="0.2">
      <c r="B211" s="1">
        <v>212</v>
      </c>
      <c r="C211" s="1">
        <v>213</v>
      </c>
      <c r="D211" s="1">
        <v>5</v>
      </c>
      <c r="E211" s="1">
        <v>226.102722</v>
      </c>
      <c r="F211" s="1">
        <v>8.6959999999999997</v>
      </c>
      <c r="G211" s="1">
        <v>0.74527100000000002</v>
      </c>
      <c r="I211" s="1" t="s">
        <v>19</v>
      </c>
      <c r="J211" s="1" t="s">
        <v>167</v>
      </c>
      <c r="K211" s="1" t="s">
        <v>167</v>
      </c>
      <c r="L211" s="1" t="s">
        <v>168</v>
      </c>
      <c r="M211" s="1">
        <v>6.4000000000000001E-2</v>
      </c>
      <c r="N211" s="1">
        <v>0.26994400000000002</v>
      </c>
      <c r="O211" s="1">
        <v>225.09953300000001</v>
      </c>
      <c r="P211" s="2">
        <v>0</v>
      </c>
      <c r="Q211" s="2">
        <v>0</v>
      </c>
      <c r="R211" s="2">
        <v>2202.14</v>
      </c>
      <c r="S211" s="2">
        <v>0</v>
      </c>
      <c r="T211" s="2">
        <v>0</v>
      </c>
      <c r="U211" s="2">
        <v>27312.52</v>
      </c>
      <c r="V211" s="2">
        <v>6159526.5</v>
      </c>
      <c r="W211" s="2">
        <v>3256978.25</v>
      </c>
      <c r="X211" s="2">
        <v>0</v>
      </c>
      <c r="Y211" s="1">
        <f t="shared" ca="1" si="3"/>
        <v>6621</v>
      </c>
      <c r="Z211" s="1">
        <f t="shared" ca="1" si="3"/>
        <v>7147</v>
      </c>
    </row>
    <row r="212" spans="2:26" x14ac:dyDescent="0.2">
      <c r="B212" s="1">
        <v>212</v>
      </c>
      <c r="C212" s="1">
        <v>214</v>
      </c>
      <c r="D212" s="1">
        <v>4</v>
      </c>
      <c r="E212" s="1">
        <v>227.10617099999999</v>
      </c>
      <c r="F212" s="1">
        <v>8.7129999999999992</v>
      </c>
      <c r="G212" s="1">
        <v>0.83072000000000001</v>
      </c>
      <c r="I212" s="1" t="s">
        <v>22</v>
      </c>
      <c r="J212" s="1" t="s">
        <v>167</v>
      </c>
      <c r="K212" s="1" t="s">
        <v>167</v>
      </c>
      <c r="L212" s="1" t="s">
        <v>168</v>
      </c>
      <c r="M212" s="1">
        <v>4.7E-2</v>
      </c>
      <c r="N212" s="1">
        <v>0.67188000000000003</v>
      </c>
      <c r="O212" s="1">
        <v>225.09953300000001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174624.7</v>
      </c>
      <c r="W212" s="2">
        <v>84248.8</v>
      </c>
      <c r="X212" s="2">
        <v>0</v>
      </c>
      <c r="Y212" s="1">
        <f t="shared" ca="1" si="3"/>
        <v>6602</v>
      </c>
      <c r="Z212" s="1">
        <f t="shared" ca="1" si="3"/>
        <v>7086</v>
      </c>
    </row>
    <row r="213" spans="2:26" x14ac:dyDescent="0.2">
      <c r="B213" s="1">
        <v>215</v>
      </c>
      <c r="C213" s="1">
        <v>215</v>
      </c>
      <c r="D213" s="1">
        <v>18</v>
      </c>
      <c r="E213" s="1">
        <v>226.08346599999999</v>
      </c>
      <c r="F213" s="1">
        <v>2.988</v>
      </c>
      <c r="G213" s="1">
        <v>0.85231699999999999</v>
      </c>
      <c r="H213" s="1" t="s">
        <v>15</v>
      </c>
      <c r="I213" s="1" t="s">
        <v>16</v>
      </c>
      <c r="J213" s="1" t="s">
        <v>169</v>
      </c>
      <c r="K213" s="1" t="s">
        <v>169</v>
      </c>
      <c r="L213" s="1" t="s">
        <v>170</v>
      </c>
      <c r="M213" s="1">
        <v>3.2000000000000001E-2</v>
      </c>
      <c r="N213" s="1">
        <v>0.60742700000000005</v>
      </c>
      <c r="O213" s="1">
        <v>226.08346599999999</v>
      </c>
      <c r="P213" s="2">
        <v>537030.56000000006</v>
      </c>
      <c r="Q213" s="2">
        <v>259850.67</v>
      </c>
      <c r="R213" s="2">
        <v>574838.5</v>
      </c>
      <c r="S213" s="2">
        <v>345358.5</v>
      </c>
      <c r="T213" s="2">
        <v>440594.12</v>
      </c>
      <c r="U213" s="2">
        <v>586306.5</v>
      </c>
      <c r="V213" s="2">
        <v>191908.44</v>
      </c>
      <c r="W213" s="2">
        <v>117566.31</v>
      </c>
      <c r="X213" s="2">
        <v>160318.48000000001</v>
      </c>
      <c r="Y213" s="1">
        <f t="shared" ca="1" si="3"/>
        <v>4387</v>
      </c>
      <c r="Z213" s="1">
        <f t="shared" ca="1" si="3"/>
        <v>1755</v>
      </c>
    </row>
    <row r="214" spans="2:26" x14ac:dyDescent="0.2">
      <c r="B214" s="1">
        <v>215</v>
      </c>
      <c r="C214" s="1">
        <v>216</v>
      </c>
      <c r="D214" s="1">
        <v>8</v>
      </c>
      <c r="E214" s="1">
        <v>227.08691400000001</v>
      </c>
      <c r="F214" s="1">
        <v>2.9929999999999999</v>
      </c>
      <c r="G214" s="1">
        <v>0.81694199999999995</v>
      </c>
      <c r="I214" s="1" t="s">
        <v>19</v>
      </c>
      <c r="J214" s="1" t="s">
        <v>169</v>
      </c>
      <c r="K214" s="1" t="s">
        <v>169</v>
      </c>
      <c r="L214" s="1" t="s">
        <v>170</v>
      </c>
      <c r="M214" s="1">
        <v>2.7E-2</v>
      </c>
      <c r="N214" s="1">
        <v>1.0079050000000001</v>
      </c>
      <c r="O214" s="1">
        <v>226.08346599999999</v>
      </c>
      <c r="P214" s="2">
        <v>45716.29</v>
      </c>
      <c r="Q214" s="2">
        <v>12188.74</v>
      </c>
      <c r="R214" s="2">
        <v>56839.66</v>
      </c>
      <c r="S214" s="2">
        <v>31679.13</v>
      </c>
      <c r="T214" s="2">
        <v>24127.65</v>
      </c>
      <c r="U214" s="2">
        <v>57889.33</v>
      </c>
      <c r="V214" s="2">
        <v>12199.58</v>
      </c>
      <c r="W214" s="2">
        <v>10643.81</v>
      </c>
      <c r="X214" s="2">
        <v>6172.02</v>
      </c>
      <c r="Y214" s="1">
        <f t="shared" ca="1" si="3"/>
        <v>5414</v>
      </c>
      <c r="Z214" s="1">
        <f t="shared" ca="1" si="3"/>
        <v>4985</v>
      </c>
    </row>
    <row r="215" spans="2:26" x14ac:dyDescent="0.2">
      <c r="B215" s="1">
        <v>217</v>
      </c>
      <c r="C215" s="1">
        <v>217</v>
      </c>
      <c r="D215" s="1">
        <v>15</v>
      </c>
      <c r="E215" s="1">
        <v>229.01190199999999</v>
      </c>
      <c r="F215" s="1">
        <v>8.8219999999999992</v>
      </c>
      <c r="G215" s="1">
        <v>0.82796000000000003</v>
      </c>
      <c r="H215" s="1" t="s">
        <v>15</v>
      </c>
      <c r="I215" s="1" t="s">
        <v>16</v>
      </c>
      <c r="J215" s="1" t="s">
        <v>171</v>
      </c>
      <c r="K215" s="1" t="s">
        <v>171</v>
      </c>
      <c r="L215" s="1" t="s">
        <v>172</v>
      </c>
      <c r="M215" s="1">
        <v>0.40799999999999997</v>
      </c>
      <c r="N215" s="1">
        <v>6.6628999999999994E-2</v>
      </c>
      <c r="O215" s="1">
        <v>229.01190199999999</v>
      </c>
      <c r="P215" s="2">
        <v>106802.65</v>
      </c>
      <c r="Q215" s="2">
        <v>44348.78</v>
      </c>
      <c r="R215" s="2">
        <v>267927.96999999997</v>
      </c>
      <c r="S215" s="2">
        <v>51677.25</v>
      </c>
      <c r="T215" s="2">
        <v>5954.85</v>
      </c>
      <c r="U215" s="2">
        <v>77421.98</v>
      </c>
      <c r="V215" s="2">
        <v>95308.78</v>
      </c>
      <c r="W215" s="2">
        <v>131338.70000000001</v>
      </c>
      <c r="X215" s="2">
        <v>742550.69</v>
      </c>
      <c r="Y215" s="1">
        <f t="shared" ca="1" si="3"/>
        <v>3047</v>
      </c>
      <c r="Z215" s="1">
        <f t="shared" ca="1" si="3"/>
        <v>2857</v>
      </c>
    </row>
    <row r="216" spans="2:26" x14ac:dyDescent="0.2">
      <c r="B216" s="1">
        <v>217</v>
      </c>
      <c r="C216" s="1">
        <v>218</v>
      </c>
      <c r="D216" s="1">
        <v>2</v>
      </c>
      <c r="E216" s="1">
        <v>230.01532</v>
      </c>
      <c r="F216" s="1">
        <v>8.8330000000000002</v>
      </c>
      <c r="G216" s="1">
        <v>0.80321500000000001</v>
      </c>
      <c r="I216" s="1" t="s">
        <v>19</v>
      </c>
      <c r="J216" s="1" t="s">
        <v>171</v>
      </c>
      <c r="K216" s="1" t="s">
        <v>171</v>
      </c>
      <c r="L216" s="1" t="s">
        <v>172</v>
      </c>
      <c r="M216" s="1">
        <v>0.39700000000000002</v>
      </c>
      <c r="N216" s="1">
        <v>0.39802900000000002</v>
      </c>
      <c r="O216" s="1">
        <v>229.01190199999999</v>
      </c>
      <c r="P216" s="2">
        <v>1903.4</v>
      </c>
      <c r="Q216" s="2">
        <v>0</v>
      </c>
      <c r="R216" s="2">
        <v>14439.82</v>
      </c>
      <c r="S216" s="2">
        <v>1260.02</v>
      </c>
      <c r="T216" s="2">
        <v>0</v>
      </c>
      <c r="U216" s="2">
        <v>4200.46</v>
      </c>
      <c r="V216" s="2">
        <v>5792.46</v>
      </c>
      <c r="W216" s="2">
        <v>4303.58</v>
      </c>
      <c r="X216" s="2">
        <v>32684.080000000002</v>
      </c>
      <c r="Y216" s="1">
        <f t="shared" ca="1" si="3"/>
        <v>4991</v>
      </c>
      <c r="Z216" s="1">
        <f t="shared" ca="1" si="3"/>
        <v>1749</v>
      </c>
    </row>
    <row r="217" spans="2:26" x14ac:dyDescent="0.2">
      <c r="B217" s="1">
        <v>219</v>
      </c>
      <c r="C217" s="1">
        <v>219</v>
      </c>
      <c r="D217" s="1">
        <v>6</v>
      </c>
      <c r="E217" s="1">
        <v>239.11509699999999</v>
      </c>
      <c r="F217" s="1">
        <v>8.6120000000000001</v>
      </c>
      <c r="G217" s="1">
        <v>0.84976600000000002</v>
      </c>
      <c r="H217" s="1" t="s">
        <v>15</v>
      </c>
      <c r="I217" s="1" t="s">
        <v>16</v>
      </c>
      <c r="J217" s="1" t="s">
        <v>173</v>
      </c>
      <c r="K217" s="1" t="s">
        <v>173</v>
      </c>
      <c r="L217" s="1" t="s">
        <v>174</v>
      </c>
      <c r="M217" s="1">
        <v>6.8000000000000005E-2</v>
      </c>
      <c r="N217" s="1">
        <v>0.57432300000000003</v>
      </c>
      <c r="O217" s="1">
        <v>239.11509699999999</v>
      </c>
      <c r="P217" s="2">
        <v>4067.45</v>
      </c>
      <c r="Q217" s="2">
        <v>0</v>
      </c>
      <c r="R217" s="2">
        <v>4670.3</v>
      </c>
      <c r="S217" s="2">
        <v>0</v>
      </c>
      <c r="T217" s="2">
        <v>0</v>
      </c>
      <c r="U217" s="2">
        <v>309044.25</v>
      </c>
      <c r="V217" s="2">
        <v>86304768</v>
      </c>
      <c r="W217" s="2">
        <v>20314590</v>
      </c>
      <c r="X217" s="2">
        <v>17375.84</v>
      </c>
      <c r="Y217" s="1">
        <f t="shared" ca="1" si="3"/>
        <v>5090</v>
      </c>
      <c r="Z217" s="1">
        <f t="shared" ca="1" si="3"/>
        <v>5654</v>
      </c>
    </row>
    <row r="218" spans="2:26" x14ac:dyDescent="0.2">
      <c r="B218" s="1">
        <v>219</v>
      </c>
      <c r="C218" s="1">
        <v>220</v>
      </c>
      <c r="D218" s="1">
        <v>5</v>
      </c>
      <c r="E218" s="1">
        <v>240.11831699999999</v>
      </c>
      <c r="F218" s="1">
        <v>8.6150000000000002</v>
      </c>
      <c r="G218" s="1">
        <v>0.69903700000000002</v>
      </c>
      <c r="I218" s="1" t="s">
        <v>19</v>
      </c>
      <c r="J218" s="1" t="s">
        <v>173</v>
      </c>
      <c r="K218" s="1" t="s">
        <v>173</v>
      </c>
      <c r="L218" s="1" t="s">
        <v>174</v>
      </c>
      <c r="M218" s="1">
        <v>6.5000000000000002E-2</v>
      </c>
      <c r="N218" s="1">
        <v>0</v>
      </c>
      <c r="O218" s="1">
        <v>239.11509699999999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24272.68</v>
      </c>
      <c r="V218" s="2">
        <v>9492452</v>
      </c>
      <c r="W218" s="2">
        <v>2248761.5</v>
      </c>
      <c r="X218" s="2">
        <v>0</v>
      </c>
      <c r="Y218" s="1">
        <f t="shared" ca="1" si="3"/>
        <v>2241</v>
      </c>
      <c r="Z218" s="1">
        <f t="shared" ca="1" si="3"/>
        <v>3258</v>
      </c>
    </row>
    <row r="219" spans="2:26" x14ac:dyDescent="0.2">
      <c r="B219" s="1">
        <v>219</v>
      </c>
      <c r="C219" s="1">
        <v>221</v>
      </c>
      <c r="D219" s="1">
        <v>3</v>
      </c>
      <c r="E219" s="1">
        <v>241.12191799999999</v>
      </c>
      <c r="F219" s="1">
        <v>8.6129999999999995</v>
      </c>
      <c r="G219" s="1">
        <v>0.65277099999999999</v>
      </c>
      <c r="I219" s="1" t="s">
        <v>22</v>
      </c>
      <c r="J219" s="1" t="s">
        <v>173</v>
      </c>
      <c r="K219" s="1" t="s">
        <v>173</v>
      </c>
      <c r="L219" s="1" t="s">
        <v>174</v>
      </c>
      <c r="M219" s="1">
        <v>6.7000000000000004E-2</v>
      </c>
      <c r="N219" s="1">
        <v>1.0125200000000001</v>
      </c>
      <c r="O219" s="1">
        <v>239.11509699999999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261497.55</v>
      </c>
      <c r="W219" s="2">
        <v>54833.48</v>
      </c>
      <c r="X219" s="2">
        <v>0</v>
      </c>
      <c r="Y219" s="1">
        <f t="shared" ca="1" si="3"/>
        <v>3792</v>
      </c>
      <c r="Z219" s="1">
        <f t="shared" ca="1" si="3"/>
        <v>7133</v>
      </c>
    </row>
    <row r="220" spans="2:26" x14ac:dyDescent="0.2">
      <c r="B220" s="1">
        <v>222</v>
      </c>
      <c r="C220" s="1">
        <v>222</v>
      </c>
      <c r="D220" s="1">
        <v>15</v>
      </c>
      <c r="E220" s="1">
        <v>241.08306899999999</v>
      </c>
      <c r="F220" s="1">
        <v>1.954</v>
      </c>
      <c r="G220" s="1">
        <v>0.85276600000000002</v>
      </c>
      <c r="H220" s="1" t="s">
        <v>15</v>
      </c>
      <c r="I220" s="1" t="s">
        <v>16</v>
      </c>
      <c r="J220" s="1" t="s">
        <v>175</v>
      </c>
      <c r="K220" s="1" t="s">
        <v>175</v>
      </c>
      <c r="L220" s="1" t="s">
        <v>176</v>
      </c>
      <c r="M220" s="1">
        <v>3.5999999999999997E-2</v>
      </c>
      <c r="N220" s="1">
        <v>0.31646299999999999</v>
      </c>
      <c r="O220" s="1">
        <v>241.08306899999999</v>
      </c>
      <c r="P220" s="2">
        <v>137993.44</v>
      </c>
      <c r="Q220" s="2">
        <v>44421.11</v>
      </c>
      <c r="R220" s="2">
        <v>149604.51999999999</v>
      </c>
      <c r="S220" s="2">
        <v>70167.539999999994</v>
      </c>
      <c r="T220" s="2">
        <v>83979.09</v>
      </c>
      <c r="U220" s="2">
        <v>109942.73</v>
      </c>
      <c r="V220" s="2">
        <v>33431.800000000003</v>
      </c>
      <c r="W220" s="2">
        <v>20557.93</v>
      </c>
      <c r="X220" s="2">
        <v>7415.44</v>
      </c>
      <c r="Y220" s="1">
        <f t="shared" ca="1" si="3"/>
        <v>3529</v>
      </c>
      <c r="Z220" s="1">
        <f t="shared" ca="1" si="3"/>
        <v>4878</v>
      </c>
    </row>
    <row r="221" spans="2:26" x14ac:dyDescent="0.2">
      <c r="B221" s="1">
        <v>222</v>
      </c>
      <c r="C221" s="1">
        <v>223</v>
      </c>
      <c r="D221" s="1">
        <v>0</v>
      </c>
      <c r="E221" s="1">
        <v>242.08648700000001</v>
      </c>
      <c r="F221" s="1">
        <v>1.958</v>
      </c>
      <c r="G221" s="1">
        <v>0.37500800000000001</v>
      </c>
      <c r="I221" s="1" t="s">
        <v>19</v>
      </c>
      <c r="J221" s="1" t="s">
        <v>175</v>
      </c>
      <c r="K221" s="1" t="s">
        <v>175</v>
      </c>
      <c r="L221" s="1" t="s">
        <v>176</v>
      </c>
      <c r="M221" s="1">
        <v>3.2000000000000001E-2</v>
      </c>
      <c r="N221" s="1">
        <v>0.56727300000000003</v>
      </c>
      <c r="O221" s="1">
        <v>241.08306899999999</v>
      </c>
      <c r="P221" s="2">
        <v>10432.200000000001</v>
      </c>
      <c r="Q221" s="2">
        <v>7303.28</v>
      </c>
      <c r="R221" s="2">
        <v>11476.49</v>
      </c>
      <c r="S221" s="2">
        <v>3370.67</v>
      </c>
      <c r="T221" s="2">
        <v>10599.79</v>
      </c>
      <c r="U221" s="2">
        <v>7393.16</v>
      </c>
      <c r="V221" s="2">
        <v>3989</v>
      </c>
      <c r="W221" s="2">
        <v>1861.76</v>
      </c>
      <c r="X221" s="2">
        <v>0</v>
      </c>
      <c r="Y221" s="1">
        <f t="shared" ca="1" si="3"/>
        <v>3158</v>
      </c>
      <c r="Z221" s="1">
        <f t="shared" ca="1" si="3"/>
        <v>4244</v>
      </c>
    </row>
    <row r="222" spans="2:26" x14ac:dyDescent="0.2">
      <c r="B222" s="1">
        <v>224</v>
      </c>
      <c r="C222" s="1">
        <v>224</v>
      </c>
      <c r="D222" s="1">
        <v>15</v>
      </c>
      <c r="E222" s="1">
        <v>243.062286</v>
      </c>
      <c r="F222" s="1">
        <v>2.6</v>
      </c>
      <c r="G222" s="1">
        <v>0.84920300000000004</v>
      </c>
      <c r="H222" s="1" t="s">
        <v>15</v>
      </c>
      <c r="I222" s="1" t="s">
        <v>16</v>
      </c>
      <c r="J222" s="1" t="s">
        <v>177</v>
      </c>
      <c r="K222" s="1" t="s">
        <v>177</v>
      </c>
      <c r="L222" s="1" t="s">
        <v>178</v>
      </c>
      <c r="M222" s="1">
        <v>0.03</v>
      </c>
      <c r="N222" s="1">
        <v>0.125555</v>
      </c>
      <c r="O222" s="1">
        <v>243.062286</v>
      </c>
      <c r="P222" s="2">
        <v>127196.19</v>
      </c>
      <c r="Q222" s="2">
        <v>72203.88</v>
      </c>
      <c r="R222" s="2">
        <v>246369.12</v>
      </c>
      <c r="S222" s="2">
        <v>94530.880000000005</v>
      </c>
      <c r="T222" s="2">
        <v>22541.18</v>
      </c>
      <c r="U222" s="2">
        <v>35515.78</v>
      </c>
      <c r="V222" s="2">
        <v>105586.23</v>
      </c>
      <c r="W222" s="2">
        <v>114560.24</v>
      </c>
      <c r="X222" s="2">
        <v>419491</v>
      </c>
      <c r="Y222" s="1">
        <f t="shared" ca="1" si="3"/>
        <v>1601</v>
      </c>
      <c r="Z222" s="1">
        <f t="shared" ca="1" si="3"/>
        <v>6222</v>
      </c>
    </row>
    <row r="223" spans="2:26" x14ac:dyDescent="0.2">
      <c r="B223" s="1">
        <v>224</v>
      </c>
      <c r="C223" s="1">
        <v>225</v>
      </c>
      <c r="D223" s="1">
        <v>2</v>
      </c>
      <c r="E223" s="1">
        <v>244.06558200000001</v>
      </c>
      <c r="F223" s="1">
        <v>2.589</v>
      </c>
      <c r="G223" s="1">
        <v>0.690662</v>
      </c>
      <c r="I223" s="1" t="s">
        <v>19</v>
      </c>
      <c r="J223" s="1" t="s">
        <v>177</v>
      </c>
      <c r="K223" s="1" t="s">
        <v>177</v>
      </c>
      <c r="L223" s="1" t="s">
        <v>178</v>
      </c>
      <c r="M223" s="1">
        <v>4.1000000000000002E-2</v>
      </c>
      <c r="N223" s="1">
        <v>0.12503800000000001</v>
      </c>
      <c r="O223" s="1">
        <v>243.062286</v>
      </c>
      <c r="P223" s="2">
        <v>10802.39</v>
      </c>
      <c r="Q223" s="2">
        <v>0</v>
      </c>
      <c r="R223" s="2">
        <v>22192.71</v>
      </c>
      <c r="S223" s="2">
        <v>5451.6</v>
      </c>
      <c r="T223" s="2">
        <v>0</v>
      </c>
      <c r="U223" s="2">
        <v>0</v>
      </c>
      <c r="V223" s="2">
        <v>9122.59</v>
      </c>
      <c r="W223" s="2">
        <v>9490.7900000000009</v>
      </c>
      <c r="X223" s="2">
        <v>35617.22</v>
      </c>
      <c r="Y223" s="1">
        <f t="shared" ca="1" si="3"/>
        <v>7778</v>
      </c>
      <c r="Z223" s="1">
        <f t="shared" ca="1" si="3"/>
        <v>5481</v>
      </c>
    </row>
    <row r="224" spans="2:26" x14ac:dyDescent="0.2">
      <c r="B224" s="1">
        <v>230</v>
      </c>
      <c r="C224" s="1">
        <v>230</v>
      </c>
      <c r="D224" s="1">
        <v>15</v>
      </c>
      <c r="E224" s="1">
        <v>259.02255200000002</v>
      </c>
      <c r="F224" s="1">
        <v>9.5079999999999991</v>
      </c>
      <c r="G224" s="1">
        <v>0.84748699999999999</v>
      </c>
      <c r="H224" s="1" t="s">
        <v>15</v>
      </c>
      <c r="I224" s="1" t="s">
        <v>16</v>
      </c>
      <c r="J224" s="1" t="s">
        <v>179</v>
      </c>
      <c r="K224" s="1" t="s">
        <v>179</v>
      </c>
      <c r="L224" s="1" t="s">
        <v>180</v>
      </c>
      <c r="M224" s="1">
        <v>0.28199999999999997</v>
      </c>
      <c r="N224" s="1">
        <v>0.35345500000000002</v>
      </c>
      <c r="O224" s="1">
        <v>259.02255200000002</v>
      </c>
      <c r="P224" s="2">
        <v>46884.73</v>
      </c>
      <c r="Q224" s="2">
        <v>32111.71</v>
      </c>
      <c r="R224" s="2">
        <v>77669.34</v>
      </c>
      <c r="S224" s="2">
        <v>27289.68</v>
      </c>
      <c r="T224" s="2">
        <v>18501.810000000001</v>
      </c>
      <c r="U224" s="2">
        <v>79758.100000000006</v>
      </c>
      <c r="V224" s="2">
        <v>17570286</v>
      </c>
      <c r="W224" s="2">
        <v>1963929.62</v>
      </c>
      <c r="X224" s="2">
        <v>8561143</v>
      </c>
      <c r="Y224" s="1">
        <f t="shared" ca="1" si="3"/>
        <v>5196</v>
      </c>
      <c r="Z224" s="1">
        <f t="shared" ca="1" si="3"/>
        <v>4545</v>
      </c>
    </row>
    <row r="225" spans="2:26" x14ac:dyDescent="0.2">
      <c r="B225" s="1">
        <v>230</v>
      </c>
      <c r="C225" s="1">
        <v>231</v>
      </c>
      <c r="D225" s="1">
        <v>0</v>
      </c>
      <c r="E225" s="1">
        <v>260.02593999999999</v>
      </c>
      <c r="F225" s="1">
        <v>9.5120000000000005</v>
      </c>
      <c r="G225" s="1">
        <v>0.43493599999999999</v>
      </c>
      <c r="I225" s="1" t="s">
        <v>19</v>
      </c>
      <c r="J225" s="1" t="s">
        <v>179</v>
      </c>
      <c r="K225" s="1" t="s">
        <v>179</v>
      </c>
      <c r="L225" s="1" t="s">
        <v>180</v>
      </c>
      <c r="M225" s="1">
        <v>0.27800000000000002</v>
      </c>
      <c r="N225" s="1">
        <v>0.46945500000000001</v>
      </c>
      <c r="O225" s="1">
        <v>259.02255200000002</v>
      </c>
      <c r="P225" s="2">
        <v>2269.1</v>
      </c>
      <c r="Q225" s="2">
        <v>0</v>
      </c>
      <c r="R225" s="2">
        <v>3078.76</v>
      </c>
      <c r="S225" s="2">
        <v>0</v>
      </c>
      <c r="T225" s="2">
        <v>0</v>
      </c>
      <c r="U225" s="2">
        <v>3109.04</v>
      </c>
      <c r="V225" s="2">
        <v>1190498.1200000001</v>
      </c>
      <c r="W225" s="2">
        <v>112032.76</v>
      </c>
      <c r="X225" s="2">
        <v>545553.93999999994</v>
      </c>
      <c r="Y225" s="1">
        <f t="shared" ca="1" si="3"/>
        <v>2090</v>
      </c>
      <c r="Z225" s="1">
        <f t="shared" ca="1" si="3"/>
        <v>4766</v>
      </c>
    </row>
    <row r="226" spans="2:26" x14ac:dyDescent="0.2">
      <c r="B226" s="1">
        <v>230</v>
      </c>
      <c r="C226" s="1">
        <v>232</v>
      </c>
      <c r="D226" s="1">
        <v>1</v>
      </c>
      <c r="E226" s="1">
        <v>262.03265399999998</v>
      </c>
      <c r="F226" s="1">
        <v>9.5120000000000005</v>
      </c>
      <c r="G226" s="1">
        <v>0.61302000000000001</v>
      </c>
      <c r="I226" s="1" t="s">
        <v>23</v>
      </c>
      <c r="J226" s="1" t="s">
        <v>179</v>
      </c>
      <c r="K226" s="1" t="s">
        <v>179</v>
      </c>
      <c r="L226" s="1" t="s">
        <v>180</v>
      </c>
      <c r="M226" s="1">
        <v>0.27800000000000002</v>
      </c>
      <c r="N226" s="1">
        <v>0.46585900000000002</v>
      </c>
      <c r="O226" s="1">
        <v>259.02255200000002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8071.24</v>
      </c>
      <c r="Y226" s="1">
        <f t="shared" ca="1" si="3"/>
        <v>5980</v>
      </c>
      <c r="Z226" s="1">
        <f t="shared" ca="1" si="3"/>
        <v>5998</v>
      </c>
    </row>
    <row r="227" spans="2:26" x14ac:dyDescent="0.2">
      <c r="B227" s="1">
        <v>230</v>
      </c>
      <c r="C227" s="1">
        <v>233</v>
      </c>
      <c r="D227" s="1">
        <v>0</v>
      </c>
      <c r="E227" s="1">
        <v>263.03607199999999</v>
      </c>
      <c r="F227" s="1">
        <v>9.5359999999999996</v>
      </c>
      <c r="G227" s="1">
        <v>0.158778</v>
      </c>
      <c r="I227" s="1" t="s">
        <v>59</v>
      </c>
      <c r="J227" s="1" t="s">
        <v>179</v>
      </c>
      <c r="K227" s="1" t="s">
        <v>179</v>
      </c>
      <c r="L227" s="1" t="s">
        <v>180</v>
      </c>
      <c r="M227" s="1">
        <v>0.254</v>
      </c>
      <c r="N227" s="1">
        <v>0.69612399999999997</v>
      </c>
      <c r="O227" s="1">
        <v>259.02255200000002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6755.05</v>
      </c>
      <c r="Y227" s="1">
        <f t="shared" ca="1" si="3"/>
        <v>5875</v>
      </c>
      <c r="Z227" s="1">
        <f t="shared" ca="1" si="3"/>
        <v>4815</v>
      </c>
    </row>
    <row r="228" spans="2:26" x14ac:dyDescent="0.2">
      <c r="B228" s="1">
        <v>234</v>
      </c>
      <c r="C228" s="1">
        <v>234</v>
      </c>
      <c r="D228" s="1">
        <v>17</v>
      </c>
      <c r="E228" s="1">
        <v>267.07354700000002</v>
      </c>
      <c r="F228" s="1">
        <v>3.2429999999999999</v>
      </c>
      <c r="G228" s="1">
        <v>0.85084099999999996</v>
      </c>
      <c r="H228" s="1" t="s">
        <v>15</v>
      </c>
      <c r="I228" s="1" t="s">
        <v>16</v>
      </c>
      <c r="J228" s="1" t="s">
        <v>181</v>
      </c>
      <c r="K228" s="1" t="s">
        <v>181</v>
      </c>
      <c r="L228" s="1" t="s">
        <v>182</v>
      </c>
      <c r="M228" s="1">
        <v>0.11700000000000001</v>
      </c>
      <c r="N228" s="1">
        <v>0.22853299999999999</v>
      </c>
      <c r="O228" s="1">
        <v>267.07354700000002</v>
      </c>
      <c r="P228" s="2">
        <v>1029800.06</v>
      </c>
      <c r="Q228" s="2">
        <v>460915.22</v>
      </c>
      <c r="R228" s="2">
        <v>418477.66</v>
      </c>
      <c r="S228" s="2">
        <v>325797.96999999997</v>
      </c>
      <c r="T228" s="2">
        <v>57416.67</v>
      </c>
      <c r="U228" s="2">
        <v>599787.18999999994</v>
      </c>
      <c r="V228" s="2">
        <v>432113.53</v>
      </c>
      <c r="W228" s="2">
        <v>1424514</v>
      </c>
      <c r="X228" s="2">
        <v>914931.56</v>
      </c>
      <c r="Y228" s="1">
        <f t="shared" ca="1" si="3"/>
        <v>5658</v>
      </c>
      <c r="Z228" s="1">
        <f t="shared" ca="1" si="3"/>
        <v>1015</v>
      </c>
    </row>
    <row r="229" spans="2:26" x14ac:dyDescent="0.2">
      <c r="B229" s="1">
        <v>234</v>
      </c>
      <c r="C229" s="1">
        <v>235</v>
      </c>
      <c r="D229" s="1">
        <v>15</v>
      </c>
      <c r="E229" s="1">
        <v>268.07696499999997</v>
      </c>
      <c r="F229" s="1">
        <v>3.24</v>
      </c>
      <c r="G229" s="1">
        <v>0.82659800000000005</v>
      </c>
      <c r="I229" s="1" t="s">
        <v>19</v>
      </c>
      <c r="J229" s="1" t="s">
        <v>181</v>
      </c>
      <c r="K229" s="1" t="s">
        <v>181</v>
      </c>
      <c r="L229" s="1" t="s">
        <v>182</v>
      </c>
      <c r="M229" s="1">
        <v>0.12</v>
      </c>
      <c r="N229" s="1">
        <v>0.34151700000000002</v>
      </c>
      <c r="O229" s="1">
        <v>267.07354700000002</v>
      </c>
      <c r="P229" s="2">
        <v>130678.31</v>
      </c>
      <c r="Q229" s="2">
        <v>50987.15</v>
      </c>
      <c r="R229" s="2">
        <v>37058.769999999997</v>
      </c>
      <c r="S229" s="2">
        <v>44241.27</v>
      </c>
      <c r="T229" s="2">
        <v>5907.61</v>
      </c>
      <c r="U229" s="2">
        <v>70165.95</v>
      </c>
      <c r="V229" s="2">
        <v>31959.23</v>
      </c>
      <c r="W229" s="2">
        <v>128316.59</v>
      </c>
      <c r="X229" s="2">
        <v>88219.839999999997</v>
      </c>
      <c r="Y229" s="1">
        <f t="shared" ca="1" si="3"/>
        <v>6568</v>
      </c>
      <c r="Z229" s="1">
        <f t="shared" ca="1" si="3"/>
        <v>2089</v>
      </c>
    </row>
    <row r="230" spans="2:26" x14ac:dyDescent="0.2">
      <c r="B230" s="1">
        <v>236</v>
      </c>
      <c r="C230" s="1">
        <v>236</v>
      </c>
      <c r="D230" s="1">
        <v>6</v>
      </c>
      <c r="E230" s="1">
        <v>308.098816</v>
      </c>
      <c r="F230" s="1">
        <v>6.8579999999999997</v>
      </c>
      <c r="G230" s="1">
        <v>0.85027299999999995</v>
      </c>
      <c r="H230" s="1" t="s">
        <v>15</v>
      </c>
      <c r="I230" s="1" t="s">
        <v>16</v>
      </c>
      <c r="J230" s="1" t="s">
        <v>183</v>
      </c>
      <c r="K230" s="1" t="s">
        <v>183</v>
      </c>
      <c r="L230" s="1" t="s">
        <v>184</v>
      </c>
      <c r="M230" s="1">
        <v>0.30199999999999999</v>
      </c>
      <c r="N230" s="1">
        <v>0.39620499999999997</v>
      </c>
      <c r="O230" s="1">
        <v>308.098816</v>
      </c>
      <c r="P230" s="2">
        <v>3257.45</v>
      </c>
      <c r="Q230" s="2">
        <v>1927.1</v>
      </c>
      <c r="R230" s="2">
        <v>8108.79</v>
      </c>
      <c r="S230" s="2">
        <v>0</v>
      </c>
      <c r="T230" s="2">
        <v>0</v>
      </c>
      <c r="U230" s="2">
        <v>0</v>
      </c>
      <c r="V230" s="2">
        <v>23793.5</v>
      </c>
      <c r="W230" s="2">
        <v>17951.63</v>
      </c>
      <c r="X230" s="2">
        <v>243402.06</v>
      </c>
      <c r="Y230" s="1">
        <f t="shared" ca="1" si="3"/>
        <v>1608</v>
      </c>
      <c r="Z230" s="1">
        <f t="shared" ca="1" si="3"/>
        <v>5313</v>
      </c>
    </row>
    <row r="231" spans="2:26" x14ac:dyDescent="0.2">
      <c r="B231" s="1">
        <v>236</v>
      </c>
      <c r="C231" s="1">
        <v>237</v>
      </c>
      <c r="D231" s="1">
        <v>0</v>
      </c>
      <c r="E231" s="1">
        <v>310.10427900000002</v>
      </c>
      <c r="F231" s="1">
        <v>6.8840000000000003</v>
      </c>
      <c r="G231" s="1">
        <v>5.7049000000000002E-2</v>
      </c>
      <c r="I231" s="1" t="s">
        <v>22</v>
      </c>
      <c r="J231" s="1" t="s">
        <v>183</v>
      </c>
      <c r="K231" s="1" t="s">
        <v>183</v>
      </c>
      <c r="L231" s="1" t="s">
        <v>184</v>
      </c>
      <c r="M231" s="1">
        <v>0.27600000000000002</v>
      </c>
      <c r="N231" s="1">
        <v>3.7395930000000002</v>
      </c>
      <c r="O231" s="1">
        <v>308.098816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1">
        <f t="shared" ca="1" si="3"/>
        <v>6771</v>
      </c>
      <c r="Z231" s="1">
        <f t="shared" ca="1" si="3"/>
        <v>4263</v>
      </c>
    </row>
    <row r="232" spans="2:26" x14ac:dyDescent="0.2">
      <c r="B232" s="1">
        <v>238</v>
      </c>
      <c r="C232" s="1">
        <v>238</v>
      </c>
      <c r="D232" s="1">
        <v>7</v>
      </c>
      <c r="E232" s="1">
        <v>347.0401</v>
      </c>
      <c r="F232" s="1">
        <v>8.9689999999999994</v>
      </c>
      <c r="G232" s="1">
        <v>0.85514999999999997</v>
      </c>
      <c r="H232" s="1" t="s">
        <v>15</v>
      </c>
      <c r="I232" s="1" t="s">
        <v>16</v>
      </c>
      <c r="J232" s="1" t="s">
        <v>185</v>
      </c>
      <c r="K232" s="1" t="s">
        <v>185</v>
      </c>
      <c r="L232" s="1" t="s">
        <v>186</v>
      </c>
      <c r="M232" s="1">
        <v>0.191</v>
      </c>
      <c r="N232" s="1">
        <v>0.791431</v>
      </c>
      <c r="O232" s="1">
        <v>347.0401</v>
      </c>
      <c r="P232" s="2">
        <v>0</v>
      </c>
      <c r="Q232" s="2">
        <v>0</v>
      </c>
      <c r="R232" s="2">
        <v>1037.49</v>
      </c>
      <c r="S232" s="2">
        <v>0</v>
      </c>
      <c r="T232" s="2">
        <v>0</v>
      </c>
      <c r="U232" s="2">
        <v>38728.870000000003</v>
      </c>
      <c r="V232" s="2">
        <v>444005.25</v>
      </c>
      <c r="W232" s="2">
        <v>928175.19</v>
      </c>
      <c r="X232" s="2">
        <v>1161671.3799999999</v>
      </c>
      <c r="Y232" s="1">
        <f t="shared" ca="1" si="3"/>
        <v>5911</v>
      </c>
      <c r="Z232" s="1">
        <f t="shared" ca="1" si="3"/>
        <v>4734</v>
      </c>
    </row>
    <row r="233" spans="2:26" x14ac:dyDescent="0.2">
      <c r="B233" s="1">
        <v>238</v>
      </c>
      <c r="C233" s="1">
        <v>239</v>
      </c>
      <c r="D233" s="1">
        <v>5</v>
      </c>
      <c r="E233" s="1">
        <v>348.043182</v>
      </c>
      <c r="F233" s="1">
        <v>8.9749999999999996</v>
      </c>
      <c r="G233" s="1">
        <v>0.79932400000000003</v>
      </c>
      <c r="I233" s="1" t="s">
        <v>19</v>
      </c>
      <c r="J233" s="1" t="s">
        <v>185</v>
      </c>
      <c r="K233" s="1" t="s">
        <v>185</v>
      </c>
      <c r="L233" s="1" t="s">
        <v>186</v>
      </c>
      <c r="M233" s="1">
        <v>0.185</v>
      </c>
      <c r="N233" s="1">
        <v>0</v>
      </c>
      <c r="O233" s="1">
        <v>347.0401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1858.06</v>
      </c>
      <c r="V233" s="2">
        <v>43708.78</v>
      </c>
      <c r="W233" s="2">
        <v>86696.38</v>
      </c>
      <c r="X233" s="2">
        <v>112497.55</v>
      </c>
      <c r="Y233" s="1">
        <f t="shared" ca="1" si="3"/>
        <v>4374</v>
      </c>
      <c r="Z233" s="1">
        <f t="shared" ca="1" si="3"/>
        <v>6887</v>
      </c>
    </row>
    <row r="234" spans="2:26" x14ac:dyDescent="0.2">
      <c r="B234" s="1">
        <v>240</v>
      </c>
      <c r="C234" s="1">
        <v>240</v>
      </c>
      <c r="D234" s="1">
        <v>3</v>
      </c>
      <c r="E234" s="1">
        <v>402.99444599999998</v>
      </c>
      <c r="F234" s="1">
        <v>9.4269999999999996</v>
      </c>
      <c r="G234" s="1">
        <v>0.85060199999999997</v>
      </c>
      <c r="H234" s="1" t="s">
        <v>15</v>
      </c>
      <c r="I234" s="1" t="s">
        <v>16</v>
      </c>
      <c r="J234" s="1" t="s">
        <v>187</v>
      </c>
      <c r="K234" s="1" t="s">
        <v>187</v>
      </c>
      <c r="L234" s="1" t="s">
        <v>188</v>
      </c>
      <c r="M234" s="1">
        <v>0.10299999999999999</v>
      </c>
      <c r="N234" s="1">
        <v>1.2116309999999999</v>
      </c>
      <c r="O234" s="1">
        <v>402.99444599999998</v>
      </c>
      <c r="P234" s="2">
        <v>1415.32</v>
      </c>
      <c r="Q234" s="2">
        <v>1491.21</v>
      </c>
      <c r="R234" s="2">
        <v>0</v>
      </c>
      <c r="S234" s="2">
        <v>0</v>
      </c>
      <c r="T234" s="2">
        <v>0</v>
      </c>
      <c r="U234" s="2">
        <v>0</v>
      </c>
      <c r="V234" s="2">
        <v>4243.6400000000003</v>
      </c>
      <c r="W234" s="2">
        <v>11070.71</v>
      </c>
      <c r="X234" s="2">
        <v>101729.98</v>
      </c>
      <c r="Y234" s="1">
        <f t="shared" ca="1" si="3"/>
        <v>1346</v>
      </c>
      <c r="Z234" s="1">
        <f t="shared" ca="1" si="3"/>
        <v>5299</v>
      </c>
    </row>
    <row r="235" spans="2:26" x14ac:dyDescent="0.2">
      <c r="B235" s="1">
        <v>240</v>
      </c>
      <c r="C235" s="1">
        <v>241</v>
      </c>
      <c r="D235" s="1">
        <v>1</v>
      </c>
      <c r="E235" s="1">
        <v>403.998718</v>
      </c>
      <c r="F235" s="1">
        <v>9.5180000000000007</v>
      </c>
      <c r="G235" s="1">
        <v>0.67698000000000003</v>
      </c>
      <c r="I235" s="1" t="s">
        <v>19</v>
      </c>
      <c r="J235" s="1" t="s">
        <v>187</v>
      </c>
      <c r="K235" s="1" t="s">
        <v>187</v>
      </c>
      <c r="L235" s="1" t="s">
        <v>188</v>
      </c>
      <c r="M235" s="1">
        <v>1.2E-2</v>
      </c>
      <c r="N235" s="1">
        <v>1.057544</v>
      </c>
      <c r="O235" s="1">
        <v>402.99444599999998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2700.46</v>
      </c>
      <c r="X235" s="2">
        <v>10481.36</v>
      </c>
      <c r="Y235" s="1">
        <f t="shared" ca="1" si="3"/>
        <v>3658</v>
      </c>
      <c r="Z235" s="1">
        <f t="shared" ca="1" si="3"/>
        <v>5560</v>
      </c>
    </row>
    <row r="236" spans="2:26" x14ac:dyDescent="0.2">
      <c r="B236" s="1">
        <v>240</v>
      </c>
      <c r="C236" s="1">
        <v>242</v>
      </c>
      <c r="D236" s="1">
        <v>0</v>
      </c>
      <c r="E236" s="1">
        <v>404.99984699999999</v>
      </c>
      <c r="F236" s="1">
        <v>9.4459999999999997</v>
      </c>
      <c r="G236" s="1">
        <v>5.3244E-2</v>
      </c>
      <c r="I236" s="1" t="s">
        <v>22</v>
      </c>
      <c r="J236" s="1" t="s">
        <v>187</v>
      </c>
      <c r="K236" s="1" t="s">
        <v>187</v>
      </c>
      <c r="L236" s="1" t="s">
        <v>188</v>
      </c>
      <c r="M236" s="1">
        <v>8.4000000000000005E-2</v>
      </c>
      <c r="N236" s="1">
        <v>4.4457529999999998</v>
      </c>
      <c r="O236" s="1">
        <v>402.99444599999998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1679.07</v>
      </c>
      <c r="Y236" s="1">
        <f t="shared" ca="1" si="3"/>
        <v>4188</v>
      </c>
      <c r="Z236" s="1">
        <f t="shared" ca="1" si="3"/>
        <v>5071</v>
      </c>
    </row>
    <row r="237" spans="2:26" x14ac:dyDescent="0.2">
      <c r="B237" s="1">
        <v>243</v>
      </c>
      <c r="C237" s="1">
        <v>243</v>
      </c>
      <c r="D237" s="1">
        <v>6</v>
      </c>
      <c r="E237" s="1">
        <v>482.96118200000001</v>
      </c>
      <c r="F237" s="1">
        <v>10.596</v>
      </c>
      <c r="G237" s="1">
        <v>0.84839100000000001</v>
      </c>
      <c r="H237" s="1" t="s">
        <v>15</v>
      </c>
      <c r="I237" s="1" t="s">
        <v>16</v>
      </c>
      <c r="J237" s="1" t="s">
        <v>189</v>
      </c>
      <c r="K237" s="1" t="s">
        <v>189</v>
      </c>
      <c r="L237" s="1" t="s">
        <v>190</v>
      </c>
      <c r="M237" s="1">
        <v>6.0000000000000001E-3</v>
      </c>
      <c r="N237" s="1">
        <v>0.18956500000000001</v>
      </c>
      <c r="O237" s="1">
        <v>482.96118200000001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55878</v>
      </c>
      <c r="W237" s="2">
        <v>17862</v>
      </c>
      <c r="X237" s="2">
        <v>6347.89</v>
      </c>
      <c r="Y237" s="1">
        <f t="shared" ca="1" si="3"/>
        <v>5015</v>
      </c>
      <c r="Z237" s="1">
        <f t="shared" ca="1" si="3"/>
        <v>6020</v>
      </c>
    </row>
    <row r="238" spans="2:26" x14ac:dyDescent="0.2">
      <c r="B238" s="1">
        <v>243</v>
      </c>
      <c r="C238" s="1">
        <v>244</v>
      </c>
      <c r="D238" s="1">
        <v>0</v>
      </c>
      <c r="E238" s="1">
        <v>483.96466099999998</v>
      </c>
      <c r="F238" s="1">
        <v>10.504</v>
      </c>
      <c r="G238" s="1">
        <v>0.46052700000000002</v>
      </c>
      <c r="I238" s="1" t="s">
        <v>19</v>
      </c>
      <c r="J238" s="1" t="s">
        <v>189</v>
      </c>
      <c r="K238" s="1" t="s">
        <v>189</v>
      </c>
      <c r="L238" s="1" t="s">
        <v>190</v>
      </c>
      <c r="M238" s="1">
        <v>8.5999999999999993E-2</v>
      </c>
      <c r="N238" s="1">
        <v>6.3057000000000002E-2</v>
      </c>
      <c r="O238" s="1">
        <v>482.96118200000001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5979.37</v>
      </c>
      <c r="W238" s="2">
        <v>0</v>
      </c>
      <c r="X238" s="2">
        <v>0</v>
      </c>
      <c r="Y238" s="1">
        <f t="shared" ca="1" si="3"/>
        <v>3819</v>
      </c>
      <c r="Z238" s="1">
        <f t="shared" ca="1" si="3"/>
        <v>1821</v>
      </c>
    </row>
    <row r="239" spans="2:26" x14ac:dyDescent="0.2">
      <c r="B239" s="1">
        <v>245</v>
      </c>
      <c r="C239" s="1">
        <v>245</v>
      </c>
      <c r="D239" s="1">
        <v>6</v>
      </c>
      <c r="E239" s="1">
        <v>565.04742399999998</v>
      </c>
      <c r="F239" s="1">
        <v>8.8439999999999994</v>
      </c>
      <c r="G239" s="1">
        <v>0.85022500000000001</v>
      </c>
      <c r="H239" s="1" t="s">
        <v>15</v>
      </c>
      <c r="I239" s="1" t="s">
        <v>16</v>
      </c>
      <c r="J239" s="1" t="s">
        <v>191</v>
      </c>
      <c r="K239" s="1" t="s">
        <v>191</v>
      </c>
      <c r="L239" s="1" t="s">
        <v>192</v>
      </c>
      <c r="M239" s="1">
        <v>0.29599999999999999</v>
      </c>
      <c r="N239" s="1">
        <v>0.54008800000000001</v>
      </c>
      <c r="O239" s="1">
        <v>565.04742399999998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134280.76999999999</v>
      </c>
      <c r="W239" s="2">
        <v>58751.26</v>
      </c>
      <c r="X239" s="2">
        <v>959348</v>
      </c>
      <c r="Y239" s="1">
        <f t="shared" ca="1" si="3"/>
        <v>1646</v>
      </c>
      <c r="Z239" s="1">
        <f t="shared" ca="1" si="3"/>
        <v>5080</v>
      </c>
    </row>
    <row r="240" spans="2:26" x14ac:dyDescent="0.2">
      <c r="B240" s="1">
        <v>245</v>
      </c>
      <c r="C240" s="1">
        <v>246</v>
      </c>
      <c r="D240" s="1">
        <v>5</v>
      </c>
      <c r="E240" s="1">
        <v>566.05071999999996</v>
      </c>
      <c r="F240" s="1">
        <v>8.85</v>
      </c>
      <c r="G240" s="1">
        <v>0.77219899999999997</v>
      </c>
      <c r="I240" s="1" t="s">
        <v>19</v>
      </c>
      <c r="J240" s="1" t="s">
        <v>191</v>
      </c>
      <c r="K240" s="1" t="s">
        <v>191</v>
      </c>
      <c r="L240" s="1" t="s">
        <v>192</v>
      </c>
      <c r="M240" s="1">
        <v>0.28999999999999998</v>
      </c>
      <c r="N240" s="1">
        <v>0.75478400000000001</v>
      </c>
      <c r="O240" s="1">
        <v>565.04742399999998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22677.73</v>
      </c>
      <c r="W240" s="2">
        <v>9551.84</v>
      </c>
      <c r="X240" s="2">
        <v>158672.23000000001</v>
      </c>
      <c r="Y240" s="1">
        <f t="shared" ca="1" si="3"/>
        <v>1241</v>
      </c>
      <c r="Z240" s="1">
        <f t="shared" ca="1" si="3"/>
        <v>2857</v>
      </c>
    </row>
    <row r="241" spans="2:26" x14ac:dyDescent="0.2">
      <c r="B241" s="1">
        <v>245</v>
      </c>
      <c r="C241" s="1">
        <v>247</v>
      </c>
      <c r="D241" s="1">
        <v>1</v>
      </c>
      <c r="E241" s="1">
        <v>567.05224599999997</v>
      </c>
      <c r="F241" s="1">
        <v>8.8510000000000009</v>
      </c>
      <c r="G241" s="1">
        <v>0.79996100000000003</v>
      </c>
      <c r="I241" s="1" t="s">
        <v>22</v>
      </c>
      <c r="J241" s="1" t="s">
        <v>191</v>
      </c>
      <c r="K241" s="1" t="s">
        <v>191</v>
      </c>
      <c r="L241" s="1" t="s">
        <v>192</v>
      </c>
      <c r="M241" s="1">
        <v>0.28899999999999998</v>
      </c>
      <c r="N241" s="1">
        <v>3.9825110000000001</v>
      </c>
      <c r="O241" s="1">
        <v>565.04742399999998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4595.8</v>
      </c>
      <c r="W241" s="2">
        <v>1761.24</v>
      </c>
      <c r="X241" s="2">
        <v>28598.12</v>
      </c>
      <c r="Y241" s="1">
        <f t="shared" ca="1" si="3"/>
        <v>2494</v>
      </c>
      <c r="Z241" s="1">
        <f t="shared" ca="1" si="3"/>
        <v>3255</v>
      </c>
    </row>
    <row r="242" spans="2:26" x14ac:dyDescent="0.2">
      <c r="B242" s="1">
        <v>245</v>
      </c>
      <c r="C242" s="1">
        <v>248</v>
      </c>
      <c r="D242" s="1">
        <v>0</v>
      </c>
      <c r="E242" s="1">
        <v>568.05602999999996</v>
      </c>
      <c r="F242" s="1">
        <v>8.8559999999999999</v>
      </c>
      <c r="G242" s="1">
        <v>5.8363999999999999E-2</v>
      </c>
      <c r="I242" s="1" t="s">
        <v>23</v>
      </c>
      <c r="J242" s="1" t="s">
        <v>191</v>
      </c>
      <c r="K242" s="1" t="s">
        <v>191</v>
      </c>
      <c r="L242" s="1" t="s">
        <v>192</v>
      </c>
      <c r="M242" s="1">
        <v>0.28399999999999997</v>
      </c>
      <c r="N242" s="1">
        <v>3.1159150000000002</v>
      </c>
      <c r="O242" s="1">
        <v>565.04742399999998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5055</v>
      </c>
      <c r="Y242" s="1">
        <f t="shared" ca="1" si="3"/>
        <v>7442</v>
      </c>
      <c r="Z242" s="1">
        <f t="shared" ca="1" si="3"/>
        <v>6852</v>
      </c>
    </row>
    <row r="243" spans="2:26" x14ac:dyDescent="0.2">
      <c r="B243" s="1">
        <v>245</v>
      </c>
      <c r="C243" s="1">
        <v>249</v>
      </c>
      <c r="D243" s="1">
        <v>0</v>
      </c>
      <c r="E243" s="1">
        <v>571.067139</v>
      </c>
      <c r="F243" s="1">
        <v>8.9030000000000005</v>
      </c>
      <c r="G243" s="1">
        <v>0.33327800000000002</v>
      </c>
      <c r="I243" s="1" t="s">
        <v>90</v>
      </c>
      <c r="J243" s="1" t="s">
        <v>191</v>
      </c>
      <c r="K243" s="1" t="s">
        <v>191</v>
      </c>
      <c r="L243" s="1" t="s">
        <v>192</v>
      </c>
      <c r="M243" s="1">
        <v>0.23699999999999999</v>
      </c>
      <c r="N243" s="1">
        <v>1.282548</v>
      </c>
      <c r="O243" s="1">
        <v>565.04742399999998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1991.36</v>
      </c>
      <c r="X243" s="2">
        <v>5678.22</v>
      </c>
      <c r="Y243" s="1">
        <f t="shared" ca="1" si="3"/>
        <v>2281</v>
      </c>
      <c r="Z243" s="1">
        <f t="shared" ca="1" si="3"/>
        <v>3906</v>
      </c>
    </row>
  </sheetData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7DFF6-D620-414E-9BB8-E971F9FDB709}">
  <dimension ref="A1:N107"/>
  <sheetViews>
    <sheetView workbookViewId="0">
      <selection activeCell="E12" sqref="E12"/>
    </sheetView>
  </sheetViews>
  <sheetFormatPr baseColWidth="10" defaultColWidth="11" defaultRowHeight="16" x14ac:dyDescent="0.2"/>
  <cols>
    <col min="1" max="1" width="11.5" bestFit="1" customWidth="1"/>
    <col min="2" max="2" width="29" bestFit="1" customWidth="1"/>
    <col min="3" max="3" width="15" bestFit="1" customWidth="1"/>
    <col min="4" max="12" width="10.1640625" bestFit="1" customWidth="1"/>
    <col min="13" max="14" width="5.1640625" bestFit="1" customWidth="1"/>
  </cols>
  <sheetData>
    <row r="1" spans="1:14" x14ac:dyDescent="0.2">
      <c r="A1" s="1" t="s">
        <v>8</v>
      </c>
      <c r="B1" s="1" t="s">
        <v>9</v>
      </c>
      <c r="C1" s="1" t="s">
        <v>11</v>
      </c>
      <c r="D1" s="1" t="s">
        <v>193</v>
      </c>
      <c r="E1" s="1" t="s">
        <v>194</v>
      </c>
      <c r="F1" s="1" t="s">
        <v>195</v>
      </c>
      <c r="G1" s="1" t="s">
        <v>196</v>
      </c>
      <c r="H1" s="1" t="s">
        <v>197</v>
      </c>
      <c r="I1" s="1" t="s">
        <v>198</v>
      </c>
      <c r="J1" s="1" t="s">
        <v>199</v>
      </c>
      <c r="K1" s="1" t="s">
        <v>200</v>
      </c>
      <c r="L1" s="1" t="s">
        <v>201</v>
      </c>
      <c r="M1" s="1" t="s">
        <v>202</v>
      </c>
      <c r="N1" s="1" t="s">
        <v>203</v>
      </c>
    </row>
    <row r="2" spans="1:14" x14ac:dyDescent="0.2">
      <c r="A2" s="1" t="s">
        <v>16</v>
      </c>
      <c r="B2" s="1" t="s">
        <v>17</v>
      </c>
      <c r="C2" s="1" t="s">
        <v>18</v>
      </c>
      <c r="D2" s="2">
        <v>1805889.62</v>
      </c>
      <c r="E2" s="2">
        <v>864476.81</v>
      </c>
      <c r="F2" s="2">
        <v>1921847</v>
      </c>
      <c r="G2" s="2">
        <v>1084706.8799999999</v>
      </c>
      <c r="H2" s="2">
        <v>1637284.88</v>
      </c>
      <c r="I2" s="2">
        <v>2738106.25</v>
      </c>
      <c r="J2" s="2">
        <v>3952412.75</v>
      </c>
      <c r="K2" s="2">
        <v>1446180.5</v>
      </c>
      <c r="L2" s="2">
        <v>2439767</v>
      </c>
      <c r="M2" s="1">
        <v>7477</v>
      </c>
      <c r="N2" s="1">
        <v>2241</v>
      </c>
    </row>
    <row r="3" spans="1:14" x14ac:dyDescent="0.2">
      <c r="A3" s="1" t="s">
        <v>19</v>
      </c>
      <c r="B3" s="1" t="s">
        <v>17</v>
      </c>
      <c r="C3" s="1" t="s">
        <v>18</v>
      </c>
      <c r="D3" s="2">
        <v>25282.15</v>
      </c>
      <c r="E3" s="2">
        <v>14038.05</v>
      </c>
      <c r="F3" s="2">
        <v>23735.71</v>
      </c>
      <c r="G3" s="2">
        <v>17048.34</v>
      </c>
      <c r="H3" s="2">
        <v>23263.47</v>
      </c>
      <c r="I3" s="2">
        <v>46598.720000000001</v>
      </c>
      <c r="J3" s="2">
        <v>59479.23</v>
      </c>
      <c r="K3" s="2">
        <v>24741.35</v>
      </c>
      <c r="L3" s="2">
        <v>31351.23</v>
      </c>
      <c r="M3" s="1">
        <v>5607</v>
      </c>
      <c r="N3" s="1">
        <v>5619</v>
      </c>
    </row>
    <row r="4" spans="1:14" x14ac:dyDescent="0.2">
      <c r="A4" s="1" t="s">
        <v>16</v>
      </c>
      <c r="B4" s="1" t="s">
        <v>20</v>
      </c>
      <c r="C4" s="1" t="s">
        <v>21</v>
      </c>
      <c r="D4" s="2">
        <v>3138811.25</v>
      </c>
      <c r="E4" s="2">
        <v>1762868.38</v>
      </c>
      <c r="F4" s="2">
        <v>2883312.25</v>
      </c>
      <c r="G4" s="2">
        <v>4272322.5</v>
      </c>
      <c r="H4" s="2">
        <v>5504136</v>
      </c>
      <c r="I4" s="2">
        <v>4430664.5</v>
      </c>
      <c r="J4" s="2">
        <v>6525026.5</v>
      </c>
      <c r="K4" s="2">
        <v>1586590</v>
      </c>
      <c r="L4" s="2">
        <v>2251829.5</v>
      </c>
      <c r="M4" s="1">
        <v>2018</v>
      </c>
      <c r="N4" s="1">
        <v>4543</v>
      </c>
    </row>
    <row r="5" spans="1:14" x14ac:dyDescent="0.2">
      <c r="A5" s="1" t="s">
        <v>19</v>
      </c>
      <c r="B5" s="1" t="s">
        <v>20</v>
      </c>
      <c r="C5" s="1" t="s">
        <v>21</v>
      </c>
      <c r="D5" s="2">
        <v>78130.16</v>
      </c>
      <c r="E5" s="2">
        <v>46541.98</v>
      </c>
      <c r="F5" s="2">
        <v>85088.9</v>
      </c>
      <c r="G5" s="2">
        <v>141672.17000000001</v>
      </c>
      <c r="H5" s="2">
        <v>196383.73</v>
      </c>
      <c r="I5" s="2">
        <v>146298.23000000001</v>
      </c>
      <c r="J5" s="2">
        <v>202056.06</v>
      </c>
      <c r="K5" s="2">
        <v>42538.39</v>
      </c>
      <c r="L5" s="2">
        <v>67295.66</v>
      </c>
      <c r="M5" s="1">
        <v>6932</v>
      </c>
      <c r="N5" s="1">
        <v>6571</v>
      </c>
    </row>
    <row r="6" spans="1:14" x14ac:dyDescent="0.2">
      <c r="A6" s="1" t="s">
        <v>22</v>
      </c>
      <c r="B6" s="1" t="s">
        <v>20</v>
      </c>
      <c r="C6" s="1" t="s">
        <v>21</v>
      </c>
      <c r="D6" s="2">
        <v>0</v>
      </c>
      <c r="E6" s="2">
        <v>0</v>
      </c>
      <c r="F6" s="2">
        <v>2026.55</v>
      </c>
      <c r="G6" s="2">
        <v>11832.65</v>
      </c>
      <c r="H6" s="2">
        <v>23831.16</v>
      </c>
      <c r="I6" s="2">
        <v>21843.02</v>
      </c>
      <c r="J6" s="2">
        <v>1484.35</v>
      </c>
      <c r="K6" s="2">
        <v>1844.88</v>
      </c>
      <c r="L6" s="2">
        <v>3620.36</v>
      </c>
      <c r="M6" s="1">
        <v>5097</v>
      </c>
      <c r="N6" s="1">
        <v>1687</v>
      </c>
    </row>
    <row r="7" spans="1:14" x14ac:dyDescent="0.2">
      <c r="A7" s="1" t="s">
        <v>23</v>
      </c>
      <c r="B7" s="1" t="s">
        <v>20</v>
      </c>
      <c r="C7" s="1" t="s">
        <v>21</v>
      </c>
      <c r="D7" s="2">
        <v>0</v>
      </c>
      <c r="E7" s="2">
        <v>3321.54</v>
      </c>
      <c r="F7" s="2">
        <v>36704.480000000003</v>
      </c>
      <c r="G7" s="2">
        <v>100796.71</v>
      </c>
      <c r="H7" s="2">
        <v>216945.92000000001</v>
      </c>
      <c r="I7" s="2">
        <v>157394.29999999999</v>
      </c>
      <c r="J7" s="2">
        <v>0</v>
      </c>
      <c r="K7" s="2">
        <v>37669.300000000003</v>
      </c>
      <c r="L7" s="2">
        <v>35314.83</v>
      </c>
      <c r="M7" s="1">
        <v>6999</v>
      </c>
      <c r="N7" s="1">
        <v>2049</v>
      </c>
    </row>
    <row r="8" spans="1:14" x14ac:dyDescent="0.2">
      <c r="A8" s="1" t="s">
        <v>16</v>
      </c>
      <c r="B8" s="1" t="s">
        <v>24</v>
      </c>
      <c r="C8" s="1" t="s">
        <v>25</v>
      </c>
      <c r="D8" s="2">
        <v>14344587</v>
      </c>
      <c r="E8" s="2">
        <v>5056525</v>
      </c>
      <c r="F8" s="2">
        <v>13906923</v>
      </c>
      <c r="G8" s="2">
        <v>9052844</v>
      </c>
      <c r="H8" s="2">
        <v>15573696</v>
      </c>
      <c r="I8" s="2">
        <v>25573582</v>
      </c>
      <c r="J8" s="2">
        <v>52379392</v>
      </c>
      <c r="K8" s="2">
        <v>55804624</v>
      </c>
      <c r="L8" s="2">
        <v>10970460</v>
      </c>
      <c r="M8" s="1">
        <v>3812</v>
      </c>
      <c r="N8" s="1">
        <v>1239</v>
      </c>
    </row>
    <row r="9" spans="1:14" x14ac:dyDescent="0.2">
      <c r="A9" s="1" t="s">
        <v>19</v>
      </c>
      <c r="B9" s="1" t="s">
        <v>24</v>
      </c>
      <c r="C9" s="1" t="s">
        <v>25</v>
      </c>
      <c r="D9" s="2">
        <v>460151.25</v>
      </c>
      <c r="E9" s="2">
        <v>140951.44</v>
      </c>
      <c r="F9" s="2">
        <v>464565.25</v>
      </c>
      <c r="G9" s="2">
        <v>278642.59000000003</v>
      </c>
      <c r="H9" s="2">
        <v>574591.93999999994</v>
      </c>
      <c r="I9" s="2">
        <v>973603.69</v>
      </c>
      <c r="J9" s="2">
        <v>1864035.12</v>
      </c>
      <c r="K9" s="2">
        <v>1825520</v>
      </c>
      <c r="L9" s="2">
        <v>366297.97</v>
      </c>
      <c r="M9" s="1">
        <v>2926</v>
      </c>
      <c r="N9" s="1">
        <v>2369</v>
      </c>
    </row>
    <row r="10" spans="1:14" x14ac:dyDescent="0.2">
      <c r="A10" s="1" t="s">
        <v>22</v>
      </c>
      <c r="B10" s="1" t="s">
        <v>24</v>
      </c>
      <c r="C10" s="1" t="s">
        <v>25</v>
      </c>
      <c r="D10" s="2">
        <v>0</v>
      </c>
      <c r="E10" s="2">
        <v>0</v>
      </c>
      <c r="F10" s="2">
        <v>5573.72</v>
      </c>
      <c r="G10" s="2">
        <v>16607.21</v>
      </c>
      <c r="H10" s="2">
        <v>63695.95</v>
      </c>
      <c r="I10" s="2">
        <v>95098.5</v>
      </c>
      <c r="J10" s="2">
        <v>6088.66</v>
      </c>
      <c r="K10" s="2">
        <v>65971.16</v>
      </c>
      <c r="L10" s="2">
        <v>36539.99</v>
      </c>
      <c r="M10" s="1">
        <v>3885</v>
      </c>
      <c r="N10" s="1">
        <v>6351</v>
      </c>
    </row>
    <row r="11" spans="1:14" x14ac:dyDescent="0.2">
      <c r="A11" s="1" t="s">
        <v>23</v>
      </c>
      <c r="B11" s="1" t="s">
        <v>24</v>
      </c>
      <c r="C11" s="1" t="s">
        <v>25</v>
      </c>
      <c r="D11" s="2">
        <v>0</v>
      </c>
      <c r="E11" s="2">
        <v>0</v>
      </c>
      <c r="F11" s="2">
        <v>70637.05</v>
      </c>
      <c r="G11" s="2">
        <v>100424.99</v>
      </c>
      <c r="H11" s="2">
        <v>318238.21999999997</v>
      </c>
      <c r="I11" s="2">
        <v>621348.62</v>
      </c>
      <c r="J11" s="2">
        <v>0</v>
      </c>
      <c r="K11" s="2">
        <v>299068.96999999997</v>
      </c>
      <c r="L11" s="2">
        <v>258355.25</v>
      </c>
      <c r="M11" s="1">
        <v>1628</v>
      </c>
      <c r="N11" s="1">
        <v>6879</v>
      </c>
    </row>
    <row r="12" spans="1:14" x14ac:dyDescent="0.2">
      <c r="A12" s="1" t="s">
        <v>16</v>
      </c>
      <c r="B12" s="1" t="s">
        <v>26</v>
      </c>
      <c r="C12" s="1" t="s">
        <v>27</v>
      </c>
      <c r="D12" s="2">
        <v>277113504</v>
      </c>
      <c r="E12" s="2">
        <v>138166912</v>
      </c>
      <c r="F12" s="2">
        <v>231334848</v>
      </c>
      <c r="G12" s="2">
        <v>159646800</v>
      </c>
      <c r="H12" s="2">
        <v>178545776</v>
      </c>
      <c r="I12" s="2">
        <v>201223472</v>
      </c>
      <c r="J12" s="2">
        <v>128150528</v>
      </c>
      <c r="K12" s="2">
        <v>85415752</v>
      </c>
      <c r="L12" s="2">
        <v>205132208</v>
      </c>
      <c r="M12" s="1">
        <v>7558</v>
      </c>
      <c r="N12" s="1">
        <v>3398</v>
      </c>
    </row>
    <row r="13" spans="1:14" x14ac:dyDescent="0.2">
      <c r="A13" s="1" t="s">
        <v>19</v>
      </c>
      <c r="B13" s="1" t="s">
        <v>26</v>
      </c>
      <c r="C13" s="1" t="s">
        <v>27</v>
      </c>
      <c r="D13" s="2">
        <v>9947745</v>
      </c>
      <c r="E13" s="2">
        <v>4746031.5</v>
      </c>
      <c r="F13" s="2">
        <v>8586223</v>
      </c>
      <c r="G13" s="2">
        <v>6493932</v>
      </c>
      <c r="H13" s="2">
        <v>7617631.5</v>
      </c>
      <c r="I13" s="2">
        <v>8382872.5</v>
      </c>
      <c r="J13" s="2">
        <v>4514374</v>
      </c>
      <c r="K13" s="2">
        <v>3063328</v>
      </c>
      <c r="L13" s="2">
        <v>7173253.5</v>
      </c>
      <c r="M13" s="1">
        <v>1114</v>
      </c>
      <c r="N13" s="1">
        <v>7507</v>
      </c>
    </row>
    <row r="14" spans="1:14" x14ac:dyDescent="0.2">
      <c r="A14" s="1" t="s">
        <v>22</v>
      </c>
      <c r="B14" s="1" t="s">
        <v>26</v>
      </c>
      <c r="C14" s="1" t="s">
        <v>27</v>
      </c>
      <c r="D14" s="2">
        <v>81155.13</v>
      </c>
      <c r="E14" s="2">
        <v>115363.77</v>
      </c>
      <c r="F14" s="2">
        <v>646282.56000000006</v>
      </c>
      <c r="G14" s="2">
        <v>843123.44</v>
      </c>
      <c r="H14" s="2">
        <v>1366506.12</v>
      </c>
      <c r="I14" s="2">
        <v>1405151</v>
      </c>
      <c r="J14" s="2">
        <v>43630.54</v>
      </c>
      <c r="K14" s="2">
        <v>306507.12</v>
      </c>
      <c r="L14" s="2">
        <v>726521.25</v>
      </c>
      <c r="M14" s="1">
        <v>7960</v>
      </c>
      <c r="N14" s="1">
        <v>2405</v>
      </c>
    </row>
    <row r="15" spans="1:14" x14ac:dyDescent="0.2">
      <c r="A15" s="1" t="s">
        <v>16</v>
      </c>
      <c r="B15" s="1" t="s">
        <v>28</v>
      </c>
      <c r="C15" s="1" t="s">
        <v>29</v>
      </c>
      <c r="D15" s="2">
        <v>6980717.5</v>
      </c>
      <c r="E15" s="2">
        <v>2217920.25</v>
      </c>
      <c r="F15" s="2">
        <v>3784137.25</v>
      </c>
      <c r="G15" s="2">
        <v>2844760</v>
      </c>
      <c r="H15" s="2">
        <v>2802387</v>
      </c>
      <c r="I15" s="2">
        <v>3023665.75</v>
      </c>
      <c r="J15" s="2">
        <v>51936.52</v>
      </c>
      <c r="K15" s="2">
        <v>31348.35</v>
      </c>
      <c r="L15" s="2">
        <v>303946.34000000003</v>
      </c>
      <c r="M15" s="1">
        <v>5825</v>
      </c>
      <c r="N15" s="1">
        <v>4314</v>
      </c>
    </row>
    <row r="16" spans="1:14" x14ac:dyDescent="0.2">
      <c r="A16" s="1" t="s">
        <v>19</v>
      </c>
      <c r="B16" s="1" t="s">
        <v>28</v>
      </c>
      <c r="C16" s="1" t="s">
        <v>29</v>
      </c>
      <c r="D16" s="2">
        <v>250429.19</v>
      </c>
      <c r="E16" s="2">
        <v>63499.3</v>
      </c>
      <c r="F16" s="2">
        <v>124908.45</v>
      </c>
      <c r="G16" s="2">
        <v>114389.68</v>
      </c>
      <c r="H16" s="2">
        <v>89161.68</v>
      </c>
      <c r="I16" s="2">
        <v>105815.73</v>
      </c>
      <c r="J16" s="2">
        <v>0</v>
      </c>
      <c r="K16" s="2">
        <v>0</v>
      </c>
      <c r="L16" s="2">
        <v>9618.43</v>
      </c>
      <c r="M16" s="1">
        <v>5956</v>
      </c>
      <c r="N16" s="1">
        <v>7490</v>
      </c>
    </row>
    <row r="17" spans="1:14" x14ac:dyDescent="0.2">
      <c r="A17" s="1" t="s">
        <v>16</v>
      </c>
      <c r="B17" s="1" t="s">
        <v>30</v>
      </c>
      <c r="C17" s="1" t="s">
        <v>31</v>
      </c>
      <c r="D17" s="2">
        <v>66166.75</v>
      </c>
      <c r="E17" s="2">
        <v>31419.4</v>
      </c>
      <c r="F17" s="2">
        <v>46904.33</v>
      </c>
      <c r="G17" s="2">
        <v>20311.080000000002</v>
      </c>
      <c r="H17" s="2">
        <v>37176.870000000003</v>
      </c>
      <c r="I17" s="2">
        <v>66225.09</v>
      </c>
      <c r="J17" s="2">
        <v>728874.25</v>
      </c>
      <c r="K17" s="2">
        <v>1255837.8799999999</v>
      </c>
      <c r="L17" s="2">
        <v>413338.12</v>
      </c>
      <c r="M17" s="1">
        <v>6348</v>
      </c>
      <c r="N17" s="1">
        <v>2429</v>
      </c>
    </row>
    <row r="18" spans="1:14" x14ac:dyDescent="0.2">
      <c r="A18" s="1" t="s">
        <v>19</v>
      </c>
      <c r="B18" s="1" t="s">
        <v>30</v>
      </c>
      <c r="C18" s="1" t="s">
        <v>31</v>
      </c>
      <c r="D18" s="2">
        <v>2552.4299999999998</v>
      </c>
      <c r="E18" s="2">
        <v>0</v>
      </c>
      <c r="F18" s="2">
        <v>0</v>
      </c>
      <c r="G18" s="2">
        <v>1906.98</v>
      </c>
      <c r="H18" s="2">
        <v>1257.3499999999999</v>
      </c>
      <c r="I18" s="2">
        <v>0</v>
      </c>
      <c r="J18" s="2">
        <v>25167.33</v>
      </c>
      <c r="K18" s="2">
        <v>50543.83</v>
      </c>
      <c r="L18" s="2">
        <v>19953.03</v>
      </c>
      <c r="M18" s="1">
        <v>1345</v>
      </c>
      <c r="N18" s="1">
        <v>7709</v>
      </c>
    </row>
    <row r="19" spans="1:14" x14ac:dyDescent="0.2">
      <c r="A19" s="1" t="s">
        <v>22</v>
      </c>
      <c r="B19" s="1" t="s">
        <v>30</v>
      </c>
      <c r="C19" s="1" t="s">
        <v>31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4112.37</v>
      </c>
      <c r="M19" s="1">
        <v>5492</v>
      </c>
      <c r="N19" s="1">
        <v>6358</v>
      </c>
    </row>
    <row r="20" spans="1:14" x14ac:dyDescent="0.2">
      <c r="A20" s="1" t="s">
        <v>16</v>
      </c>
      <c r="B20" s="1" t="s">
        <v>32</v>
      </c>
      <c r="C20" s="1" t="s">
        <v>33</v>
      </c>
      <c r="D20" s="2">
        <v>11046935</v>
      </c>
      <c r="E20" s="2">
        <v>6886183.5</v>
      </c>
      <c r="F20" s="2">
        <v>13023381</v>
      </c>
      <c r="G20" s="2">
        <v>9709022</v>
      </c>
      <c r="H20" s="2">
        <v>15534116</v>
      </c>
      <c r="I20" s="2">
        <v>20529038</v>
      </c>
      <c r="J20" s="2">
        <v>3146797</v>
      </c>
      <c r="K20" s="2">
        <v>1150128.3799999999</v>
      </c>
      <c r="L20" s="2">
        <v>5724174</v>
      </c>
      <c r="M20" s="1">
        <v>3278</v>
      </c>
      <c r="N20" s="1">
        <v>3177</v>
      </c>
    </row>
    <row r="21" spans="1:14" x14ac:dyDescent="0.2">
      <c r="A21" s="1" t="s">
        <v>19</v>
      </c>
      <c r="B21" s="1" t="s">
        <v>32</v>
      </c>
      <c r="C21" s="1" t="s">
        <v>33</v>
      </c>
      <c r="D21" s="2">
        <v>441538.34</v>
      </c>
      <c r="E21" s="2">
        <v>245662</v>
      </c>
      <c r="F21" s="2">
        <v>506062.97</v>
      </c>
      <c r="G21" s="2">
        <v>372032.03</v>
      </c>
      <c r="H21" s="2">
        <v>620824.5</v>
      </c>
      <c r="I21" s="2">
        <v>786485.06</v>
      </c>
      <c r="J21" s="2">
        <v>122646.38</v>
      </c>
      <c r="K21" s="2">
        <v>47775.08</v>
      </c>
      <c r="L21" s="2">
        <v>157620.17000000001</v>
      </c>
      <c r="M21" s="1">
        <v>4905</v>
      </c>
      <c r="N21" s="1">
        <v>7852</v>
      </c>
    </row>
    <row r="22" spans="1:14" x14ac:dyDescent="0.2">
      <c r="A22" s="1" t="s">
        <v>22</v>
      </c>
      <c r="B22" s="1" t="s">
        <v>32</v>
      </c>
      <c r="C22" s="1" t="s">
        <v>33</v>
      </c>
      <c r="D22" s="2">
        <v>0</v>
      </c>
      <c r="E22" s="2">
        <v>0</v>
      </c>
      <c r="F22" s="2">
        <v>11818.1</v>
      </c>
      <c r="G22" s="2">
        <v>10042.58</v>
      </c>
      <c r="H22" s="2">
        <v>26755.279999999999</v>
      </c>
      <c r="I22" s="2">
        <v>25746.61</v>
      </c>
      <c r="J22" s="2">
        <v>0</v>
      </c>
      <c r="K22" s="2">
        <v>0</v>
      </c>
      <c r="L22" s="2">
        <v>20089.259999999998</v>
      </c>
      <c r="M22" s="1">
        <v>2240</v>
      </c>
      <c r="N22" s="1">
        <v>3400</v>
      </c>
    </row>
    <row r="23" spans="1:14" x14ac:dyDescent="0.2">
      <c r="A23" s="1" t="s">
        <v>16</v>
      </c>
      <c r="B23" s="1" t="s">
        <v>34</v>
      </c>
      <c r="C23" s="1" t="s">
        <v>35</v>
      </c>
      <c r="D23" s="2">
        <v>8835652</v>
      </c>
      <c r="E23" s="2">
        <v>4968714</v>
      </c>
      <c r="F23" s="2">
        <v>9275005</v>
      </c>
      <c r="G23" s="2">
        <v>5351147.5</v>
      </c>
      <c r="H23" s="2">
        <v>7918842</v>
      </c>
      <c r="I23" s="2">
        <v>12759440</v>
      </c>
      <c r="J23" s="2">
        <v>6824711.5</v>
      </c>
      <c r="K23" s="2">
        <v>9972089</v>
      </c>
      <c r="L23" s="2">
        <v>4120713.25</v>
      </c>
      <c r="M23" s="1">
        <v>7123</v>
      </c>
      <c r="N23" s="1">
        <v>3461</v>
      </c>
    </row>
    <row r="24" spans="1:14" x14ac:dyDescent="0.2">
      <c r="A24" s="1" t="s">
        <v>19</v>
      </c>
      <c r="B24" s="1" t="s">
        <v>34</v>
      </c>
      <c r="C24" s="1" t="s">
        <v>35</v>
      </c>
      <c r="D24" s="2">
        <v>236877.55</v>
      </c>
      <c r="E24" s="2">
        <v>119163.19</v>
      </c>
      <c r="F24" s="2">
        <v>254392.17</v>
      </c>
      <c r="G24" s="2">
        <v>176481.61</v>
      </c>
      <c r="H24" s="2">
        <v>225307.31</v>
      </c>
      <c r="I24" s="2">
        <v>348792.81</v>
      </c>
      <c r="J24" s="2">
        <v>192963.02</v>
      </c>
      <c r="K24" s="2">
        <v>325046.53000000003</v>
      </c>
      <c r="L24" s="2">
        <v>122145.53</v>
      </c>
      <c r="M24" s="1">
        <v>5454</v>
      </c>
      <c r="N24" s="1">
        <v>7093</v>
      </c>
    </row>
    <row r="25" spans="1:14" x14ac:dyDescent="0.2">
      <c r="A25" s="1" t="s">
        <v>23</v>
      </c>
      <c r="B25" s="1" t="s">
        <v>34</v>
      </c>
      <c r="C25" s="1" t="s">
        <v>35</v>
      </c>
      <c r="D25" s="2">
        <v>0</v>
      </c>
      <c r="E25" s="2">
        <v>0</v>
      </c>
      <c r="F25" s="2">
        <v>7703.12</v>
      </c>
      <c r="G25" s="2">
        <v>8304.77</v>
      </c>
      <c r="H25" s="2">
        <v>22552.32</v>
      </c>
      <c r="I25" s="2">
        <v>19964.689999999999</v>
      </c>
      <c r="J25" s="2">
        <v>0</v>
      </c>
      <c r="K25" s="2">
        <v>0</v>
      </c>
      <c r="L25" s="2">
        <v>0</v>
      </c>
      <c r="M25" s="1">
        <v>2606</v>
      </c>
      <c r="N25" s="1">
        <v>1544</v>
      </c>
    </row>
    <row r="26" spans="1:14" x14ac:dyDescent="0.2">
      <c r="A26" s="1" t="s">
        <v>16</v>
      </c>
      <c r="B26" s="1" t="s">
        <v>36</v>
      </c>
      <c r="C26" s="1" t="s">
        <v>37</v>
      </c>
      <c r="D26" s="2">
        <v>228555.2</v>
      </c>
      <c r="E26" s="2">
        <v>179984.33</v>
      </c>
      <c r="F26" s="2">
        <v>713299.19</v>
      </c>
      <c r="G26" s="2">
        <v>245495.62</v>
      </c>
      <c r="H26" s="2">
        <v>110045.41</v>
      </c>
      <c r="I26" s="2">
        <v>246051.11</v>
      </c>
      <c r="J26" s="2">
        <v>2232842.5</v>
      </c>
      <c r="K26" s="2">
        <v>4715180.5</v>
      </c>
      <c r="L26" s="2">
        <v>11014773</v>
      </c>
      <c r="M26" s="1">
        <v>7501</v>
      </c>
      <c r="N26" s="1">
        <v>7383</v>
      </c>
    </row>
    <row r="27" spans="1:14" x14ac:dyDescent="0.2">
      <c r="A27" s="1" t="s">
        <v>19</v>
      </c>
      <c r="B27" s="1" t="s">
        <v>36</v>
      </c>
      <c r="C27" s="1" t="s">
        <v>37</v>
      </c>
      <c r="D27" s="2">
        <v>0</v>
      </c>
      <c r="E27" s="2">
        <v>0</v>
      </c>
      <c r="F27" s="2">
        <v>9135.91</v>
      </c>
      <c r="G27" s="2">
        <v>0</v>
      </c>
      <c r="H27" s="2">
        <v>0</v>
      </c>
      <c r="I27" s="2">
        <v>0</v>
      </c>
      <c r="J27" s="2">
        <v>38118.57</v>
      </c>
      <c r="K27" s="2">
        <v>71110.44</v>
      </c>
      <c r="L27" s="2">
        <v>203023.88</v>
      </c>
      <c r="M27" s="1">
        <v>5371</v>
      </c>
      <c r="N27" s="1">
        <v>4813</v>
      </c>
    </row>
    <row r="28" spans="1:14" x14ac:dyDescent="0.2">
      <c r="A28" s="1" t="s">
        <v>16</v>
      </c>
      <c r="B28" s="1" t="s">
        <v>38</v>
      </c>
      <c r="C28" s="1" t="s">
        <v>39</v>
      </c>
      <c r="D28" s="2">
        <v>28769.26</v>
      </c>
      <c r="E28" s="2">
        <v>31358.7</v>
      </c>
      <c r="F28" s="2">
        <v>29131.18</v>
      </c>
      <c r="G28" s="2">
        <v>19381.96</v>
      </c>
      <c r="H28" s="2">
        <v>11090.49</v>
      </c>
      <c r="I28" s="2">
        <v>8346.07</v>
      </c>
      <c r="J28" s="2">
        <v>19216.12</v>
      </c>
      <c r="K28" s="2">
        <v>18840.439999999999</v>
      </c>
      <c r="L28" s="2">
        <v>7420.8</v>
      </c>
      <c r="M28" s="1">
        <v>7240</v>
      </c>
      <c r="N28" s="1">
        <v>5337</v>
      </c>
    </row>
    <row r="29" spans="1:14" x14ac:dyDescent="0.2">
      <c r="A29" s="1" t="s">
        <v>19</v>
      </c>
      <c r="B29" s="1" t="s">
        <v>38</v>
      </c>
      <c r="C29" s="1" t="s">
        <v>39</v>
      </c>
      <c r="D29" s="2">
        <v>0</v>
      </c>
      <c r="E29" s="2">
        <v>0</v>
      </c>
      <c r="F29" s="2">
        <v>0</v>
      </c>
      <c r="G29" s="2">
        <v>3026.99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1">
        <v>3364</v>
      </c>
      <c r="N29" s="1">
        <v>2261</v>
      </c>
    </row>
    <row r="30" spans="1:14" x14ac:dyDescent="0.2">
      <c r="A30" s="1" t="s">
        <v>16</v>
      </c>
      <c r="B30" s="1" t="s">
        <v>40</v>
      </c>
      <c r="C30" s="1" t="s">
        <v>41</v>
      </c>
      <c r="D30" s="2">
        <v>0</v>
      </c>
      <c r="E30" s="2">
        <v>993.09</v>
      </c>
      <c r="F30" s="2">
        <v>0</v>
      </c>
      <c r="G30" s="2">
        <v>0</v>
      </c>
      <c r="H30" s="2">
        <v>0</v>
      </c>
      <c r="I30" s="2">
        <v>1377.95</v>
      </c>
      <c r="J30" s="2">
        <v>203411.58</v>
      </c>
      <c r="K30" s="2">
        <v>104443.91</v>
      </c>
      <c r="L30" s="2">
        <v>0</v>
      </c>
      <c r="M30" s="1">
        <v>6177</v>
      </c>
      <c r="N30" s="1">
        <v>3858</v>
      </c>
    </row>
    <row r="31" spans="1:14" x14ac:dyDescent="0.2">
      <c r="A31" s="1" t="s">
        <v>19</v>
      </c>
      <c r="B31" s="1" t="s">
        <v>40</v>
      </c>
      <c r="C31" s="1" t="s">
        <v>41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4604.32</v>
      </c>
      <c r="K31" s="2">
        <v>5526.22</v>
      </c>
      <c r="L31" s="2">
        <v>0</v>
      </c>
      <c r="M31" s="1">
        <v>3307</v>
      </c>
      <c r="N31" s="1">
        <v>2120</v>
      </c>
    </row>
    <row r="32" spans="1:14" x14ac:dyDescent="0.2">
      <c r="A32" s="1" t="s">
        <v>16</v>
      </c>
      <c r="B32" s="1" t="s">
        <v>42</v>
      </c>
      <c r="C32" s="1" t="s">
        <v>43</v>
      </c>
      <c r="D32" s="2">
        <v>1034970.69</v>
      </c>
      <c r="E32" s="2">
        <v>740194.5</v>
      </c>
      <c r="F32" s="2">
        <v>1572622.5</v>
      </c>
      <c r="G32" s="2">
        <v>796031.56</v>
      </c>
      <c r="H32" s="2">
        <v>1159478.8799999999</v>
      </c>
      <c r="I32" s="2">
        <v>1397012.12</v>
      </c>
      <c r="J32" s="2">
        <v>739797.94</v>
      </c>
      <c r="K32" s="2">
        <v>1012447.06</v>
      </c>
      <c r="L32" s="2">
        <v>869401</v>
      </c>
      <c r="M32" s="1">
        <v>4861</v>
      </c>
      <c r="N32" s="1">
        <v>5058</v>
      </c>
    </row>
    <row r="33" spans="1:14" x14ac:dyDescent="0.2">
      <c r="A33" s="1" t="s">
        <v>19</v>
      </c>
      <c r="B33" s="1" t="s">
        <v>42</v>
      </c>
      <c r="C33" s="1" t="s">
        <v>43</v>
      </c>
      <c r="D33" s="2">
        <v>30644.17</v>
      </c>
      <c r="E33" s="2">
        <v>22562.67</v>
      </c>
      <c r="F33" s="2">
        <v>46986.93</v>
      </c>
      <c r="G33" s="2">
        <v>25182.38</v>
      </c>
      <c r="H33" s="2">
        <v>38615.800000000003</v>
      </c>
      <c r="I33" s="2">
        <v>50371.92</v>
      </c>
      <c r="J33" s="2">
        <v>27717.82</v>
      </c>
      <c r="K33" s="2">
        <v>34944.11</v>
      </c>
      <c r="L33" s="2">
        <v>31230.639999999999</v>
      </c>
      <c r="M33" s="1">
        <v>5531</v>
      </c>
      <c r="N33" s="1">
        <v>3169</v>
      </c>
    </row>
    <row r="34" spans="1:14" x14ac:dyDescent="0.2">
      <c r="A34" s="1" t="s">
        <v>16</v>
      </c>
      <c r="B34" s="1" t="s">
        <v>44</v>
      </c>
      <c r="C34" s="1" t="s">
        <v>45</v>
      </c>
      <c r="D34" s="2">
        <v>1160897.5</v>
      </c>
      <c r="E34" s="2">
        <v>1511895</v>
      </c>
      <c r="F34" s="2">
        <v>1112470.3799999999</v>
      </c>
      <c r="G34" s="2">
        <v>686381.81</v>
      </c>
      <c r="H34" s="2">
        <v>927168.69</v>
      </c>
      <c r="I34" s="2">
        <v>1179424.8799999999</v>
      </c>
      <c r="J34" s="2">
        <v>1633292</v>
      </c>
      <c r="K34" s="2">
        <v>839541.19</v>
      </c>
      <c r="L34" s="2">
        <v>496769.84</v>
      </c>
      <c r="M34" s="1">
        <v>6975</v>
      </c>
      <c r="N34" s="1">
        <v>1916</v>
      </c>
    </row>
    <row r="35" spans="1:14" x14ac:dyDescent="0.2">
      <c r="A35" s="1" t="s">
        <v>19</v>
      </c>
      <c r="B35" s="1" t="s">
        <v>44</v>
      </c>
      <c r="C35" s="1" t="s">
        <v>45</v>
      </c>
      <c r="D35" s="2">
        <v>37849.47</v>
      </c>
      <c r="E35" s="2">
        <v>39478.67</v>
      </c>
      <c r="F35" s="2">
        <v>40930.61</v>
      </c>
      <c r="G35" s="2">
        <v>22822.81</v>
      </c>
      <c r="H35" s="2">
        <v>27167.599999999999</v>
      </c>
      <c r="I35" s="2">
        <v>39498.44</v>
      </c>
      <c r="J35" s="2">
        <v>55352.03</v>
      </c>
      <c r="K35" s="2">
        <v>29551</v>
      </c>
      <c r="L35" s="2">
        <v>10360.74</v>
      </c>
      <c r="M35" s="1">
        <v>1858</v>
      </c>
      <c r="N35" s="1">
        <v>6734</v>
      </c>
    </row>
    <row r="36" spans="1:14" x14ac:dyDescent="0.2">
      <c r="A36" s="1" t="s">
        <v>16</v>
      </c>
      <c r="B36" s="1" t="s">
        <v>46</v>
      </c>
      <c r="C36" s="1" t="s">
        <v>47</v>
      </c>
      <c r="D36" s="2">
        <v>8303900.5</v>
      </c>
      <c r="E36" s="2">
        <v>3748342.25</v>
      </c>
      <c r="F36" s="2">
        <v>8471554</v>
      </c>
      <c r="G36" s="2">
        <v>5449444.5</v>
      </c>
      <c r="H36" s="2">
        <v>8557527</v>
      </c>
      <c r="I36" s="2">
        <v>10709768</v>
      </c>
      <c r="J36" s="2">
        <v>3366534.25</v>
      </c>
      <c r="K36" s="2">
        <v>2376643.75</v>
      </c>
      <c r="L36" s="2">
        <v>3494978.25</v>
      </c>
      <c r="M36" s="1">
        <v>3429</v>
      </c>
      <c r="N36" s="1">
        <v>2436</v>
      </c>
    </row>
    <row r="37" spans="1:14" x14ac:dyDescent="0.2">
      <c r="A37" s="1" t="s">
        <v>19</v>
      </c>
      <c r="B37" s="1" t="s">
        <v>46</v>
      </c>
      <c r="C37" s="1" t="s">
        <v>47</v>
      </c>
      <c r="D37" s="2">
        <v>351121.66</v>
      </c>
      <c r="E37" s="2">
        <v>161204.42000000001</v>
      </c>
      <c r="F37" s="2">
        <v>374939.78</v>
      </c>
      <c r="G37" s="2">
        <v>259356.31</v>
      </c>
      <c r="H37" s="2">
        <v>380206.59</v>
      </c>
      <c r="I37" s="2">
        <v>457545.12</v>
      </c>
      <c r="J37" s="2">
        <v>134331.85999999999</v>
      </c>
      <c r="K37" s="2">
        <v>98148.21</v>
      </c>
      <c r="L37" s="2">
        <v>146559.81</v>
      </c>
      <c r="M37" s="1">
        <v>5691</v>
      </c>
      <c r="N37" s="1">
        <v>5572</v>
      </c>
    </row>
    <row r="38" spans="1:14" x14ac:dyDescent="0.2">
      <c r="A38" s="1" t="s">
        <v>22</v>
      </c>
      <c r="B38" s="1" t="s">
        <v>46</v>
      </c>
      <c r="C38" s="1" t="s">
        <v>47</v>
      </c>
      <c r="D38" s="2">
        <v>6541.53</v>
      </c>
      <c r="E38" s="2">
        <v>0</v>
      </c>
      <c r="F38" s="2">
        <v>0</v>
      </c>
      <c r="G38" s="2">
        <v>0</v>
      </c>
      <c r="H38" s="2">
        <v>0</v>
      </c>
      <c r="I38" s="2">
        <v>12711.36</v>
      </c>
      <c r="J38" s="2">
        <v>0</v>
      </c>
      <c r="K38" s="2">
        <v>0</v>
      </c>
      <c r="L38" s="2">
        <v>0</v>
      </c>
      <c r="M38" s="1">
        <v>1487</v>
      </c>
      <c r="N38" s="1">
        <v>1545</v>
      </c>
    </row>
    <row r="39" spans="1:14" x14ac:dyDescent="0.2">
      <c r="A39" s="1" t="s">
        <v>48</v>
      </c>
      <c r="B39" s="1" t="s">
        <v>46</v>
      </c>
      <c r="C39" s="1" t="s">
        <v>47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1">
        <v>2192</v>
      </c>
      <c r="N39" s="1">
        <v>7254</v>
      </c>
    </row>
    <row r="40" spans="1:14" x14ac:dyDescent="0.2">
      <c r="A40" s="1" t="s">
        <v>16</v>
      </c>
      <c r="B40" s="1" t="s">
        <v>49</v>
      </c>
      <c r="C40" s="1" t="s">
        <v>50</v>
      </c>
      <c r="D40" s="2">
        <v>886312.56</v>
      </c>
      <c r="E40" s="2">
        <v>744849</v>
      </c>
      <c r="F40" s="2">
        <v>849934.75</v>
      </c>
      <c r="G40" s="2">
        <v>858924.31</v>
      </c>
      <c r="H40" s="2">
        <v>855266.5</v>
      </c>
      <c r="I40" s="2">
        <v>872035.56</v>
      </c>
      <c r="J40" s="2">
        <v>1741895.38</v>
      </c>
      <c r="K40" s="2">
        <v>2677275</v>
      </c>
      <c r="L40" s="2">
        <v>8398866</v>
      </c>
      <c r="M40" s="1">
        <v>3835</v>
      </c>
      <c r="N40" s="1">
        <v>5858</v>
      </c>
    </row>
    <row r="41" spans="1:14" x14ac:dyDescent="0.2">
      <c r="A41" s="1" t="s">
        <v>19</v>
      </c>
      <c r="B41" s="1" t="s">
        <v>49</v>
      </c>
      <c r="C41" s="1" t="s">
        <v>50</v>
      </c>
      <c r="D41" s="2">
        <v>30668.44</v>
      </c>
      <c r="E41" s="2">
        <v>19154.07</v>
      </c>
      <c r="F41" s="2">
        <v>28256.97</v>
      </c>
      <c r="G41" s="2">
        <v>34887.35</v>
      </c>
      <c r="H41" s="2">
        <v>29454.01</v>
      </c>
      <c r="I41" s="2">
        <v>27932.98</v>
      </c>
      <c r="J41" s="2">
        <v>59172.31</v>
      </c>
      <c r="K41" s="2">
        <v>110466.91</v>
      </c>
      <c r="L41" s="2">
        <v>467133.97</v>
      </c>
      <c r="M41" s="1">
        <v>5359</v>
      </c>
      <c r="N41" s="1">
        <v>4642</v>
      </c>
    </row>
    <row r="42" spans="1:14" x14ac:dyDescent="0.2">
      <c r="A42" s="1" t="s">
        <v>22</v>
      </c>
      <c r="B42" s="1" t="s">
        <v>49</v>
      </c>
      <c r="C42" s="1" t="s">
        <v>50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7444.72</v>
      </c>
      <c r="L42" s="2">
        <v>59529.63</v>
      </c>
      <c r="M42" s="1">
        <v>5474</v>
      </c>
      <c r="N42" s="1">
        <v>6634</v>
      </c>
    </row>
    <row r="43" spans="1:14" x14ac:dyDescent="0.2">
      <c r="A43" s="1" t="s">
        <v>23</v>
      </c>
      <c r="B43" s="1" t="s">
        <v>49</v>
      </c>
      <c r="C43" s="1" t="s">
        <v>50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1770.04</v>
      </c>
      <c r="L43" s="2">
        <v>51088.2</v>
      </c>
      <c r="M43" s="1">
        <v>5521</v>
      </c>
      <c r="N43" s="1">
        <v>2011</v>
      </c>
    </row>
    <row r="44" spans="1:14" x14ac:dyDescent="0.2">
      <c r="A44" s="1" t="s">
        <v>16</v>
      </c>
      <c r="B44" s="1" t="s">
        <v>51</v>
      </c>
      <c r="C44" s="1" t="s">
        <v>52</v>
      </c>
      <c r="D44" s="2">
        <v>894317.31</v>
      </c>
      <c r="E44" s="2">
        <v>1116185.1200000001</v>
      </c>
      <c r="F44" s="2">
        <v>598804.31000000006</v>
      </c>
      <c r="G44" s="2">
        <v>365711.41</v>
      </c>
      <c r="H44" s="2">
        <v>614686.56000000006</v>
      </c>
      <c r="I44" s="2">
        <v>769943.31</v>
      </c>
      <c r="J44" s="2">
        <v>38893</v>
      </c>
      <c r="K44" s="2">
        <v>56065.02</v>
      </c>
      <c r="L44" s="2">
        <v>134243.66</v>
      </c>
      <c r="M44" s="1">
        <v>3717</v>
      </c>
      <c r="N44" s="1">
        <v>1632</v>
      </c>
    </row>
    <row r="45" spans="1:14" x14ac:dyDescent="0.2">
      <c r="A45" s="1" t="s">
        <v>19</v>
      </c>
      <c r="B45" s="1" t="s">
        <v>51</v>
      </c>
      <c r="C45" s="1" t="s">
        <v>52</v>
      </c>
      <c r="D45" s="2">
        <v>28387.8</v>
      </c>
      <c r="E45" s="2">
        <v>39913.620000000003</v>
      </c>
      <c r="F45" s="2">
        <v>16949.240000000002</v>
      </c>
      <c r="G45" s="2">
        <v>16889.740000000002</v>
      </c>
      <c r="H45" s="2">
        <v>10783.62</v>
      </c>
      <c r="I45" s="2">
        <v>28223.72</v>
      </c>
      <c r="J45" s="2">
        <v>3086.86</v>
      </c>
      <c r="K45" s="2">
        <v>0</v>
      </c>
      <c r="L45" s="2">
        <v>3000.91</v>
      </c>
      <c r="M45" s="1">
        <v>5019</v>
      </c>
      <c r="N45" s="1">
        <v>6544</v>
      </c>
    </row>
    <row r="46" spans="1:14" x14ac:dyDescent="0.2">
      <c r="A46" s="1" t="s">
        <v>16</v>
      </c>
      <c r="B46" s="1" t="s">
        <v>53</v>
      </c>
      <c r="C46" s="1" t="s">
        <v>54</v>
      </c>
      <c r="D46" s="2">
        <v>52856.36</v>
      </c>
      <c r="E46" s="2">
        <v>58985.7</v>
      </c>
      <c r="F46" s="2">
        <v>56598.53</v>
      </c>
      <c r="G46" s="2">
        <v>28444.3</v>
      </c>
      <c r="H46" s="2">
        <v>53896.99</v>
      </c>
      <c r="I46" s="2">
        <v>68811.289999999994</v>
      </c>
      <c r="J46" s="2">
        <v>0</v>
      </c>
      <c r="K46" s="2">
        <v>0</v>
      </c>
      <c r="L46" s="2">
        <v>16462.259999999998</v>
      </c>
      <c r="M46" s="1">
        <v>5905</v>
      </c>
      <c r="N46" s="1">
        <v>4964</v>
      </c>
    </row>
    <row r="47" spans="1:14" x14ac:dyDescent="0.2">
      <c r="A47" s="1" t="s">
        <v>16</v>
      </c>
      <c r="B47" s="1" t="s">
        <v>55</v>
      </c>
      <c r="C47" s="1" t="s">
        <v>56</v>
      </c>
      <c r="D47" s="2">
        <v>10562129</v>
      </c>
      <c r="E47" s="2">
        <v>3879971.25</v>
      </c>
      <c r="F47" s="2">
        <v>11067421</v>
      </c>
      <c r="G47" s="2">
        <v>6478940.5</v>
      </c>
      <c r="H47" s="2">
        <v>10858748</v>
      </c>
      <c r="I47" s="2">
        <v>15682152</v>
      </c>
      <c r="J47" s="2">
        <v>3058812.25</v>
      </c>
      <c r="K47" s="2">
        <v>2501702</v>
      </c>
      <c r="L47" s="2">
        <v>5804158</v>
      </c>
      <c r="M47" s="1">
        <v>5007</v>
      </c>
      <c r="N47" s="1">
        <v>3625</v>
      </c>
    </row>
    <row r="48" spans="1:14" x14ac:dyDescent="0.2">
      <c r="A48" s="1" t="s">
        <v>19</v>
      </c>
      <c r="B48" s="1" t="s">
        <v>55</v>
      </c>
      <c r="C48" s="1" t="s">
        <v>56</v>
      </c>
      <c r="D48" s="2">
        <v>539580</v>
      </c>
      <c r="E48" s="2">
        <v>175447.08</v>
      </c>
      <c r="F48" s="2">
        <v>562343.88</v>
      </c>
      <c r="G48" s="2">
        <v>317547.84000000003</v>
      </c>
      <c r="H48" s="2">
        <v>563727.25</v>
      </c>
      <c r="I48" s="2">
        <v>817159</v>
      </c>
      <c r="J48" s="2">
        <v>126814.07</v>
      </c>
      <c r="K48" s="2">
        <v>101901.49</v>
      </c>
      <c r="L48" s="2">
        <v>263095.84000000003</v>
      </c>
      <c r="M48" s="1">
        <v>6625</v>
      </c>
      <c r="N48" s="1">
        <v>4328</v>
      </c>
    </row>
    <row r="49" spans="1:14" x14ac:dyDescent="0.2">
      <c r="A49" s="1" t="s">
        <v>22</v>
      </c>
      <c r="B49" s="1" t="s">
        <v>55</v>
      </c>
      <c r="C49" s="1" t="s">
        <v>56</v>
      </c>
      <c r="D49" s="2">
        <v>6363.21</v>
      </c>
      <c r="E49" s="2">
        <v>2818.74</v>
      </c>
      <c r="F49" s="2">
        <v>7138.67</v>
      </c>
      <c r="G49" s="2">
        <v>2458.48</v>
      </c>
      <c r="H49" s="2">
        <v>3431.55</v>
      </c>
      <c r="I49" s="2">
        <v>10046.379999999999</v>
      </c>
      <c r="J49" s="2">
        <v>0</v>
      </c>
      <c r="K49" s="2">
        <v>0</v>
      </c>
      <c r="L49" s="2">
        <v>2448.0700000000002</v>
      </c>
      <c r="M49" s="1">
        <v>2292</v>
      </c>
      <c r="N49" s="1">
        <v>7575</v>
      </c>
    </row>
    <row r="50" spans="1:14" x14ac:dyDescent="0.2">
      <c r="A50" s="1" t="s">
        <v>16</v>
      </c>
      <c r="B50" s="1" t="s">
        <v>57</v>
      </c>
      <c r="C50" s="1" t="s">
        <v>58</v>
      </c>
      <c r="D50" s="2">
        <v>7293300</v>
      </c>
      <c r="E50" s="2">
        <v>16642053</v>
      </c>
      <c r="F50" s="2">
        <v>6857326.5</v>
      </c>
      <c r="G50" s="2">
        <v>3370694.25</v>
      </c>
      <c r="H50" s="2">
        <v>1676054.88</v>
      </c>
      <c r="I50" s="2">
        <v>4561596.5</v>
      </c>
      <c r="J50" s="2">
        <v>12724881</v>
      </c>
      <c r="K50" s="2">
        <v>22008314</v>
      </c>
      <c r="L50" s="2">
        <v>103592856</v>
      </c>
      <c r="M50" s="1">
        <v>2548</v>
      </c>
      <c r="N50" s="1">
        <v>1132</v>
      </c>
    </row>
    <row r="51" spans="1:14" x14ac:dyDescent="0.2">
      <c r="A51" s="1" t="s">
        <v>19</v>
      </c>
      <c r="B51" s="1" t="s">
        <v>57</v>
      </c>
      <c r="C51" s="1" t="s">
        <v>58</v>
      </c>
      <c r="D51" s="2">
        <v>228117</v>
      </c>
      <c r="E51" s="2">
        <v>677762.81</v>
      </c>
      <c r="F51" s="2">
        <v>239283.64</v>
      </c>
      <c r="G51" s="2">
        <v>122733.56</v>
      </c>
      <c r="H51" s="2">
        <v>61655.57</v>
      </c>
      <c r="I51" s="2">
        <v>197127.88</v>
      </c>
      <c r="J51" s="2">
        <v>525159.56000000006</v>
      </c>
      <c r="K51" s="2">
        <v>1026076.75</v>
      </c>
      <c r="L51" s="2">
        <v>6126506.5</v>
      </c>
      <c r="M51" s="1">
        <v>3084</v>
      </c>
      <c r="N51" s="1">
        <v>7614</v>
      </c>
    </row>
    <row r="52" spans="1:14" x14ac:dyDescent="0.2">
      <c r="A52" s="1" t="s">
        <v>22</v>
      </c>
      <c r="B52" s="1" t="s">
        <v>57</v>
      </c>
      <c r="C52" s="1" t="s">
        <v>58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27052.61</v>
      </c>
      <c r="J52" s="2">
        <v>0</v>
      </c>
      <c r="K52" s="2">
        <v>77022.12</v>
      </c>
      <c r="L52" s="2">
        <v>1180866.1200000001</v>
      </c>
      <c r="M52" s="1">
        <v>4939</v>
      </c>
      <c r="N52" s="1">
        <v>2107</v>
      </c>
    </row>
    <row r="53" spans="1:14" x14ac:dyDescent="0.2">
      <c r="A53" s="1" t="s">
        <v>23</v>
      </c>
      <c r="B53" s="1" t="s">
        <v>57</v>
      </c>
      <c r="C53" s="1" t="s">
        <v>58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649399.38</v>
      </c>
      <c r="M53" s="1">
        <v>1118</v>
      </c>
      <c r="N53" s="1">
        <v>3621</v>
      </c>
    </row>
    <row r="54" spans="1:14" x14ac:dyDescent="0.2">
      <c r="A54" s="1" t="s">
        <v>59</v>
      </c>
      <c r="B54" s="1" t="s">
        <v>57</v>
      </c>
      <c r="C54" s="1" t="s">
        <v>58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12040.73</v>
      </c>
      <c r="J54" s="2">
        <v>0</v>
      </c>
      <c r="K54" s="2">
        <v>0</v>
      </c>
      <c r="L54" s="2">
        <v>0</v>
      </c>
      <c r="M54" s="1">
        <v>3527</v>
      </c>
      <c r="N54" s="1">
        <v>3364</v>
      </c>
    </row>
    <row r="55" spans="1:14" x14ac:dyDescent="0.2">
      <c r="A55" s="1" t="s">
        <v>16</v>
      </c>
      <c r="B55" s="1" t="s">
        <v>60</v>
      </c>
      <c r="C55" s="1" t="s">
        <v>61</v>
      </c>
      <c r="D55" s="2">
        <v>9720508</v>
      </c>
      <c r="E55" s="2">
        <v>2953010.25</v>
      </c>
      <c r="F55" s="2">
        <v>10007451</v>
      </c>
      <c r="G55" s="2">
        <v>4845172.5</v>
      </c>
      <c r="H55" s="2">
        <v>8304794</v>
      </c>
      <c r="I55" s="2">
        <v>14472051</v>
      </c>
      <c r="J55" s="2">
        <v>9838743</v>
      </c>
      <c r="K55" s="2">
        <v>6232836</v>
      </c>
      <c r="L55" s="2">
        <v>3286062.25</v>
      </c>
      <c r="M55" s="1">
        <v>6947</v>
      </c>
      <c r="N55" s="1">
        <v>4354</v>
      </c>
    </row>
    <row r="56" spans="1:14" x14ac:dyDescent="0.2">
      <c r="A56" s="1" t="s">
        <v>19</v>
      </c>
      <c r="B56" s="1" t="s">
        <v>60</v>
      </c>
      <c r="C56" s="1" t="s">
        <v>61</v>
      </c>
      <c r="D56" s="2">
        <v>368550.66</v>
      </c>
      <c r="E56" s="2">
        <v>97191.53</v>
      </c>
      <c r="F56" s="2">
        <v>407805.09</v>
      </c>
      <c r="G56" s="2">
        <v>161493.79999999999</v>
      </c>
      <c r="H56" s="2">
        <v>333596.03000000003</v>
      </c>
      <c r="I56" s="2">
        <v>563148</v>
      </c>
      <c r="J56" s="2">
        <v>379307.66</v>
      </c>
      <c r="K56" s="2">
        <v>249370.25</v>
      </c>
      <c r="L56" s="2">
        <v>115412.82</v>
      </c>
      <c r="M56" s="1">
        <v>3549</v>
      </c>
      <c r="N56" s="1">
        <v>3599</v>
      </c>
    </row>
    <row r="57" spans="1:14" x14ac:dyDescent="0.2">
      <c r="A57" s="1" t="s">
        <v>16</v>
      </c>
      <c r="B57" s="1" t="s">
        <v>62</v>
      </c>
      <c r="C57" s="1" t="s">
        <v>63</v>
      </c>
      <c r="D57" s="2">
        <v>15801.11</v>
      </c>
      <c r="E57" s="2">
        <v>3393.39</v>
      </c>
      <c r="F57" s="2">
        <v>30186.240000000002</v>
      </c>
      <c r="G57" s="2">
        <v>8519.43</v>
      </c>
      <c r="H57" s="2">
        <v>26778.75</v>
      </c>
      <c r="I57" s="2">
        <v>39286.080000000002</v>
      </c>
      <c r="J57" s="2">
        <v>72366.33</v>
      </c>
      <c r="K57" s="2">
        <v>271418.34000000003</v>
      </c>
      <c r="L57" s="2">
        <v>571730</v>
      </c>
      <c r="M57" s="1">
        <v>5761</v>
      </c>
      <c r="N57" s="1">
        <v>7575</v>
      </c>
    </row>
    <row r="58" spans="1:14" x14ac:dyDescent="0.2">
      <c r="A58" s="1" t="s">
        <v>19</v>
      </c>
      <c r="B58" s="1" t="s">
        <v>62</v>
      </c>
      <c r="C58" s="1" t="s">
        <v>63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3057.11</v>
      </c>
      <c r="K58" s="2">
        <v>9983.82</v>
      </c>
      <c r="L58" s="2">
        <v>29687.200000000001</v>
      </c>
      <c r="M58" s="1">
        <v>6504</v>
      </c>
      <c r="N58" s="1">
        <v>4576</v>
      </c>
    </row>
    <row r="59" spans="1:14" x14ac:dyDescent="0.2">
      <c r="A59" s="1" t="s">
        <v>16</v>
      </c>
      <c r="B59" s="1" t="s">
        <v>64</v>
      </c>
      <c r="C59" s="1" t="s">
        <v>65</v>
      </c>
      <c r="D59" s="2">
        <v>16238231</v>
      </c>
      <c r="E59" s="2">
        <v>15848625</v>
      </c>
      <c r="F59" s="2">
        <v>28679408</v>
      </c>
      <c r="G59" s="2">
        <v>16787224</v>
      </c>
      <c r="H59" s="2">
        <v>11113965</v>
      </c>
      <c r="I59" s="2">
        <v>20534950</v>
      </c>
      <c r="J59" s="2">
        <v>169207232</v>
      </c>
      <c r="K59" s="2">
        <v>188564272</v>
      </c>
      <c r="L59" s="2">
        <v>31298194</v>
      </c>
      <c r="M59" s="1">
        <v>7576</v>
      </c>
      <c r="N59" s="1">
        <v>6153</v>
      </c>
    </row>
    <row r="60" spans="1:14" x14ac:dyDescent="0.2">
      <c r="A60" s="1" t="s">
        <v>19</v>
      </c>
      <c r="B60" s="1" t="s">
        <v>64</v>
      </c>
      <c r="C60" s="1" t="s">
        <v>65</v>
      </c>
      <c r="D60" s="2">
        <v>299459.28000000003</v>
      </c>
      <c r="E60" s="2">
        <v>293750.65999999997</v>
      </c>
      <c r="F60" s="2">
        <v>614039.43999999994</v>
      </c>
      <c r="G60" s="2">
        <v>341256.84</v>
      </c>
      <c r="H60" s="2">
        <v>190844.75</v>
      </c>
      <c r="I60" s="2">
        <v>414096.22</v>
      </c>
      <c r="J60" s="2">
        <v>3831673.25</v>
      </c>
      <c r="K60" s="2">
        <v>4303010.5</v>
      </c>
      <c r="L60" s="2">
        <v>616116.68999999994</v>
      </c>
      <c r="M60" s="1">
        <v>7279</v>
      </c>
      <c r="N60" s="1">
        <v>7846</v>
      </c>
    </row>
    <row r="61" spans="1:14" x14ac:dyDescent="0.2">
      <c r="A61" s="1" t="s">
        <v>22</v>
      </c>
      <c r="B61" s="1" t="s">
        <v>64</v>
      </c>
      <c r="C61" s="1" t="s">
        <v>65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17294.759999999998</v>
      </c>
      <c r="K61" s="2">
        <v>16626.580000000002</v>
      </c>
      <c r="L61" s="2">
        <v>0</v>
      </c>
      <c r="M61" s="1">
        <v>7463</v>
      </c>
      <c r="N61" s="1">
        <v>2613</v>
      </c>
    </row>
    <row r="62" spans="1:14" x14ac:dyDescent="0.2">
      <c r="A62" s="1" t="s">
        <v>16</v>
      </c>
      <c r="B62" s="1" t="s">
        <v>66</v>
      </c>
      <c r="C62" s="1" t="s">
        <v>67</v>
      </c>
      <c r="D62" s="2">
        <v>129142.91</v>
      </c>
      <c r="E62" s="2">
        <v>90216.06</v>
      </c>
      <c r="F62" s="2">
        <v>95470.16</v>
      </c>
      <c r="G62" s="2">
        <v>55357.48</v>
      </c>
      <c r="H62" s="2">
        <v>71352.95</v>
      </c>
      <c r="I62" s="2">
        <v>93752.3</v>
      </c>
      <c r="J62" s="2">
        <v>55136.39</v>
      </c>
      <c r="K62" s="2">
        <v>61498.45</v>
      </c>
      <c r="L62" s="2">
        <v>31930.93</v>
      </c>
      <c r="M62" s="1">
        <v>7635</v>
      </c>
      <c r="N62" s="1">
        <v>6294</v>
      </c>
    </row>
    <row r="63" spans="1:14" x14ac:dyDescent="0.2">
      <c r="A63" s="1" t="s">
        <v>19</v>
      </c>
      <c r="B63" s="1" t="s">
        <v>66</v>
      </c>
      <c r="C63" s="1" t="s">
        <v>67</v>
      </c>
      <c r="D63" s="2">
        <v>0</v>
      </c>
      <c r="E63" s="2">
        <v>0</v>
      </c>
      <c r="F63" s="2">
        <v>3394.03</v>
      </c>
      <c r="G63" s="2">
        <v>0</v>
      </c>
      <c r="H63" s="2">
        <v>3306.94</v>
      </c>
      <c r="I63" s="2">
        <v>2505.77</v>
      </c>
      <c r="J63" s="2">
        <v>2677.48</v>
      </c>
      <c r="K63" s="2">
        <v>2359.34</v>
      </c>
      <c r="L63" s="2">
        <v>0</v>
      </c>
      <c r="M63" s="1">
        <v>7707</v>
      </c>
      <c r="N63" s="1">
        <v>4997</v>
      </c>
    </row>
    <row r="64" spans="1:14" x14ac:dyDescent="0.2">
      <c r="A64" s="1" t="s">
        <v>16</v>
      </c>
      <c r="B64" s="1" t="s">
        <v>68</v>
      </c>
      <c r="C64" s="1" t="s">
        <v>69</v>
      </c>
      <c r="D64" s="2">
        <v>52851568</v>
      </c>
      <c r="E64" s="2">
        <v>49726740</v>
      </c>
      <c r="F64" s="2">
        <v>20163222</v>
      </c>
      <c r="G64" s="2">
        <v>14435829</v>
      </c>
      <c r="H64" s="2">
        <v>2154146.25</v>
      </c>
      <c r="I64" s="2">
        <v>1451959</v>
      </c>
      <c r="J64" s="2">
        <v>719923.19</v>
      </c>
      <c r="K64" s="2">
        <v>1680864.5</v>
      </c>
      <c r="L64" s="2">
        <v>3276797.25</v>
      </c>
      <c r="M64" s="1">
        <v>3727</v>
      </c>
      <c r="N64" s="1">
        <v>5355</v>
      </c>
    </row>
    <row r="65" spans="1:14" x14ac:dyDescent="0.2">
      <c r="A65" s="1" t="s">
        <v>19</v>
      </c>
      <c r="B65" s="1" t="s">
        <v>68</v>
      </c>
      <c r="C65" s="1" t="s">
        <v>69</v>
      </c>
      <c r="D65" s="2">
        <v>2955932.75</v>
      </c>
      <c r="E65" s="2">
        <v>2709489</v>
      </c>
      <c r="F65" s="2">
        <v>1097825.3799999999</v>
      </c>
      <c r="G65" s="2">
        <v>787762.06</v>
      </c>
      <c r="H65" s="2">
        <v>92178.29</v>
      </c>
      <c r="I65" s="2">
        <v>66907.3</v>
      </c>
      <c r="J65" s="2">
        <v>38534.67</v>
      </c>
      <c r="K65" s="2">
        <v>75984.210000000006</v>
      </c>
      <c r="L65" s="2">
        <v>146863</v>
      </c>
      <c r="M65" s="1">
        <v>4666</v>
      </c>
      <c r="N65" s="1">
        <v>4945</v>
      </c>
    </row>
    <row r="66" spans="1:14" x14ac:dyDescent="0.2">
      <c r="A66" s="1" t="s">
        <v>22</v>
      </c>
      <c r="B66" s="1" t="s">
        <v>68</v>
      </c>
      <c r="C66" s="1" t="s">
        <v>69</v>
      </c>
      <c r="D66" s="2">
        <v>55068.21</v>
      </c>
      <c r="E66" s="2">
        <v>50954.11</v>
      </c>
      <c r="F66" s="2">
        <v>16794.66</v>
      </c>
      <c r="G66" s="2">
        <v>9259.75</v>
      </c>
      <c r="H66" s="2">
        <v>6558.9</v>
      </c>
      <c r="I66" s="2">
        <v>2233.7800000000002</v>
      </c>
      <c r="J66" s="2">
        <v>0</v>
      </c>
      <c r="K66" s="2">
        <v>0</v>
      </c>
      <c r="L66" s="2">
        <v>14164.09</v>
      </c>
      <c r="M66" s="1">
        <v>6161</v>
      </c>
      <c r="N66" s="1">
        <v>2079</v>
      </c>
    </row>
    <row r="67" spans="1:14" x14ac:dyDescent="0.2">
      <c r="A67" s="1" t="s">
        <v>16</v>
      </c>
      <c r="B67" s="1" t="s">
        <v>70</v>
      </c>
      <c r="C67" s="1" t="s">
        <v>71</v>
      </c>
      <c r="D67" s="2">
        <v>2122993.75</v>
      </c>
      <c r="E67" s="2">
        <v>829030.56</v>
      </c>
      <c r="F67" s="2">
        <v>2554375.5</v>
      </c>
      <c r="G67" s="2">
        <v>1427344</v>
      </c>
      <c r="H67" s="2">
        <v>2023778.5</v>
      </c>
      <c r="I67" s="2">
        <v>3978358</v>
      </c>
      <c r="J67" s="2">
        <v>37780572</v>
      </c>
      <c r="K67" s="2">
        <v>42586324</v>
      </c>
      <c r="L67" s="2">
        <v>984991.56</v>
      </c>
      <c r="M67" s="1">
        <v>1821</v>
      </c>
      <c r="N67" s="1">
        <v>2047</v>
      </c>
    </row>
    <row r="68" spans="1:14" x14ac:dyDescent="0.2">
      <c r="A68" s="1" t="s">
        <v>19</v>
      </c>
      <c r="B68" s="1" t="s">
        <v>70</v>
      </c>
      <c r="C68" s="1" t="s">
        <v>71</v>
      </c>
      <c r="D68" s="2">
        <v>61130.89</v>
      </c>
      <c r="E68" s="2">
        <v>28915.02</v>
      </c>
      <c r="F68" s="2">
        <v>81135.69</v>
      </c>
      <c r="G68" s="2">
        <v>55037.84</v>
      </c>
      <c r="H68" s="2">
        <v>77489.77</v>
      </c>
      <c r="I68" s="2">
        <v>139732.57999999999</v>
      </c>
      <c r="J68" s="2">
        <v>1694488.62</v>
      </c>
      <c r="K68" s="2">
        <v>1846840.12</v>
      </c>
      <c r="L68" s="2">
        <v>32429.3</v>
      </c>
      <c r="M68" s="1">
        <v>4421</v>
      </c>
      <c r="N68" s="1">
        <v>2841</v>
      </c>
    </row>
    <row r="69" spans="1:14" x14ac:dyDescent="0.2">
      <c r="A69" s="1" t="s">
        <v>22</v>
      </c>
      <c r="B69" s="1" t="s">
        <v>70</v>
      </c>
      <c r="C69" s="1" t="s">
        <v>71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21616.83</v>
      </c>
      <c r="K69" s="2">
        <v>19667.689999999999</v>
      </c>
      <c r="L69" s="2">
        <v>0</v>
      </c>
      <c r="M69" s="1">
        <v>6138</v>
      </c>
      <c r="N69" s="1">
        <v>2684</v>
      </c>
    </row>
    <row r="70" spans="1:14" x14ac:dyDescent="0.2">
      <c r="A70" s="1" t="s">
        <v>16</v>
      </c>
      <c r="B70" s="1" t="s">
        <v>72</v>
      </c>
      <c r="C70" s="1" t="s">
        <v>73</v>
      </c>
      <c r="D70" s="2">
        <v>16621021</v>
      </c>
      <c r="E70" s="2">
        <v>5840665.5</v>
      </c>
      <c r="F70" s="2">
        <v>18740810</v>
      </c>
      <c r="G70" s="2">
        <v>11186035</v>
      </c>
      <c r="H70" s="2">
        <v>20130286</v>
      </c>
      <c r="I70" s="2">
        <v>27546328</v>
      </c>
      <c r="J70" s="2">
        <v>4900680.5</v>
      </c>
      <c r="K70" s="2">
        <v>4532553</v>
      </c>
      <c r="L70" s="2">
        <v>11978817</v>
      </c>
      <c r="M70" s="1">
        <v>1971</v>
      </c>
      <c r="N70" s="1">
        <v>1939</v>
      </c>
    </row>
    <row r="71" spans="1:14" x14ac:dyDescent="0.2">
      <c r="A71" s="1" t="s">
        <v>19</v>
      </c>
      <c r="B71" s="1" t="s">
        <v>72</v>
      </c>
      <c r="C71" s="1" t="s">
        <v>73</v>
      </c>
      <c r="D71" s="2">
        <v>1010186.81</v>
      </c>
      <c r="E71" s="2">
        <v>306643.28000000003</v>
      </c>
      <c r="F71" s="2">
        <v>1136830.3799999999</v>
      </c>
      <c r="G71" s="2">
        <v>685559.19</v>
      </c>
      <c r="H71" s="2">
        <v>1276736.5</v>
      </c>
      <c r="I71" s="2">
        <v>1750577.62</v>
      </c>
      <c r="J71" s="2">
        <v>281594.5</v>
      </c>
      <c r="K71" s="2">
        <v>225073.62</v>
      </c>
      <c r="L71" s="2">
        <v>729982.44</v>
      </c>
      <c r="M71" s="1">
        <v>3127</v>
      </c>
      <c r="N71" s="1">
        <v>3032</v>
      </c>
    </row>
    <row r="72" spans="1:14" x14ac:dyDescent="0.2">
      <c r="A72" s="1" t="s">
        <v>22</v>
      </c>
      <c r="B72" s="1" t="s">
        <v>72</v>
      </c>
      <c r="C72" s="1" t="s">
        <v>73</v>
      </c>
      <c r="D72" s="2">
        <v>12470.83</v>
      </c>
      <c r="E72" s="2">
        <v>7081.13</v>
      </c>
      <c r="F72" s="2">
        <v>24424.66</v>
      </c>
      <c r="G72" s="2">
        <v>14741.14</v>
      </c>
      <c r="H72" s="2">
        <v>25509.91</v>
      </c>
      <c r="I72" s="2">
        <v>27854.15</v>
      </c>
      <c r="J72" s="2">
        <v>4601.25</v>
      </c>
      <c r="K72" s="2">
        <v>0</v>
      </c>
      <c r="L72" s="2">
        <v>5566.5</v>
      </c>
      <c r="M72" s="1">
        <v>1083</v>
      </c>
      <c r="N72" s="1">
        <v>3759</v>
      </c>
    </row>
    <row r="73" spans="1:14" x14ac:dyDescent="0.2">
      <c r="A73" s="1" t="s">
        <v>16</v>
      </c>
      <c r="B73" s="1" t="s">
        <v>74</v>
      </c>
      <c r="C73" s="1" t="s">
        <v>75</v>
      </c>
      <c r="D73" s="2">
        <v>1140913.6200000001</v>
      </c>
      <c r="E73" s="2">
        <v>326482.53000000003</v>
      </c>
      <c r="F73" s="2">
        <v>1329930.5</v>
      </c>
      <c r="G73" s="2">
        <v>858049.5</v>
      </c>
      <c r="H73" s="2">
        <v>1484497</v>
      </c>
      <c r="I73" s="2">
        <v>2336280.25</v>
      </c>
      <c r="J73" s="2">
        <v>977583.5</v>
      </c>
      <c r="K73" s="2">
        <v>1992625</v>
      </c>
      <c r="L73" s="2">
        <v>551677.38</v>
      </c>
      <c r="M73" s="1">
        <v>2042</v>
      </c>
      <c r="N73" s="1">
        <v>5610</v>
      </c>
    </row>
    <row r="74" spans="1:14" x14ac:dyDescent="0.2">
      <c r="A74" s="1" t="s">
        <v>19</v>
      </c>
      <c r="B74" s="1" t="s">
        <v>74</v>
      </c>
      <c r="C74" s="1" t="s">
        <v>75</v>
      </c>
      <c r="D74" s="2">
        <v>43501.8</v>
      </c>
      <c r="E74" s="2">
        <v>5344.57</v>
      </c>
      <c r="F74" s="2">
        <v>40593.599999999999</v>
      </c>
      <c r="G74" s="2">
        <v>25374.34</v>
      </c>
      <c r="H74" s="2">
        <v>50413.03</v>
      </c>
      <c r="I74" s="2">
        <v>71834.12</v>
      </c>
      <c r="J74" s="2">
        <v>32237.81</v>
      </c>
      <c r="K74" s="2">
        <v>63386.75</v>
      </c>
      <c r="L74" s="2">
        <v>12104.89</v>
      </c>
      <c r="M74" s="1">
        <v>1790</v>
      </c>
      <c r="N74" s="1">
        <v>4021</v>
      </c>
    </row>
    <row r="75" spans="1:14" x14ac:dyDescent="0.2">
      <c r="A75" s="1" t="s">
        <v>16</v>
      </c>
      <c r="B75" s="1" t="s">
        <v>76</v>
      </c>
      <c r="C75" s="1" t="s">
        <v>77</v>
      </c>
      <c r="D75" s="2">
        <v>135267.89000000001</v>
      </c>
      <c r="E75" s="2">
        <v>60073.67</v>
      </c>
      <c r="F75" s="2">
        <v>220391.67</v>
      </c>
      <c r="G75" s="2">
        <v>106573.72</v>
      </c>
      <c r="H75" s="2">
        <v>64202.39</v>
      </c>
      <c r="I75" s="2">
        <v>104623.4</v>
      </c>
      <c r="J75" s="2">
        <v>828924.69</v>
      </c>
      <c r="K75" s="2">
        <v>1624643</v>
      </c>
      <c r="L75" s="2">
        <v>2355997.25</v>
      </c>
      <c r="M75" s="1">
        <v>1457</v>
      </c>
      <c r="N75" s="1">
        <v>4410</v>
      </c>
    </row>
    <row r="76" spans="1:14" x14ac:dyDescent="0.2">
      <c r="A76" s="1" t="s">
        <v>19</v>
      </c>
      <c r="B76" s="1" t="s">
        <v>76</v>
      </c>
      <c r="C76" s="1" t="s">
        <v>77</v>
      </c>
      <c r="D76" s="2">
        <v>4337.78</v>
      </c>
      <c r="E76" s="2">
        <v>2415.61</v>
      </c>
      <c r="F76" s="2">
        <v>9829.91</v>
      </c>
      <c r="G76" s="2">
        <v>4201.54</v>
      </c>
      <c r="H76" s="2">
        <v>2749.79</v>
      </c>
      <c r="I76" s="2">
        <v>3274.57</v>
      </c>
      <c r="J76" s="2">
        <v>22957.09</v>
      </c>
      <c r="K76" s="2">
        <v>63537.96</v>
      </c>
      <c r="L76" s="2">
        <v>103222.91</v>
      </c>
      <c r="M76" s="1">
        <v>6346</v>
      </c>
      <c r="N76" s="1">
        <v>4124</v>
      </c>
    </row>
    <row r="77" spans="1:14" x14ac:dyDescent="0.2">
      <c r="A77" s="1" t="s">
        <v>16</v>
      </c>
      <c r="B77" s="1" t="s">
        <v>78</v>
      </c>
      <c r="C77" s="1" t="s">
        <v>79</v>
      </c>
      <c r="D77" s="2">
        <v>2082347</v>
      </c>
      <c r="E77" s="2">
        <v>2520223.25</v>
      </c>
      <c r="F77" s="2">
        <v>3082378</v>
      </c>
      <c r="G77" s="2">
        <v>1314509.5</v>
      </c>
      <c r="H77" s="2">
        <v>1336128</v>
      </c>
      <c r="I77" s="2">
        <v>2741397.25</v>
      </c>
      <c r="J77" s="2">
        <v>21017434</v>
      </c>
      <c r="K77" s="2">
        <v>33435746</v>
      </c>
      <c r="L77" s="2">
        <v>79820344</v>
      </c>
      <c r="M77" s="1">
        <v>2462</v>
      </c>
      <c r="N77" s="1">
        <v>4085</v>
      </c>
    </row>
    <row r="78" spans="1:14" x14ac:dyDescent="0.2">
      <c r="A78" s="1" t="s">
        <v>19</v>
      </c>
      <c r="B78" s="1" t="s">
        <v>78</v>
      </c>
      <c r="C78" s="1" t="s">
        <v>79</v>
      </c>
      <c r="D78" s="2">
        <v>71535.600000000006</v>
      </c>
      <c r="E78" s="2">
        <v>81435.37</v>
      </c>
      <c r="F78" s="2">
        <v>108527.84</v>
      </c>
      <c r="G78" s="2">
        <v>47551.37</v>
      </c>
      <c r="H78" s="2">
        <v>56368.14</v>
      </c>
      <c r="I78" s="2">
        <v>126001.25</v>
      </c>
      <c r="J78" s="2">
        <v>908141.75</v>
      </c>
      <c r="K78" s="2">
        <v>1599999.38</v>
      </c>
      <c r="L78" s="2">
        <v>5019031.5</v>
      </c>
      <c r="M78" s="1">
        <v>1590</v>
      </c>
      <c r="N78" s="1">
        <v>5176</v>
      </c>
    </row>
    <row r="79" spans="1:14" x14ac:dyDescent="0.2">
      <c r="A79" s="1" t="s">
        <v>22</v>
      </c>
      <c r="B79" s="1" t="s">
        <v>78</v>
      </c>
      <c r="C79" s="1" t="s">
        <v>79</v>
      </c>
      <c r="D79" s="2">
        <v>0</v>
      </c>
      <c r="E79" s="2">
        <v>1693.96</v>
      </c>
      <c r="F79" s="2">
        <v>3567.36</v>
      </c>
      <c r="G79" s="2">
        <v>9097.08</v>
      </c>
      <c r="H79" s="2">
        <v>11114.49</v>
      </c>
      <c r="I79" s="2">
        <v>26940.26</v>
      </c>
      <c r="J79" s="2">
        <v>10125.41</v>
      </c>
      <c r="K79" s="2">
        <v>94438.35</v>
      </c>
      <c r="L79" s="2">
        <v>872535.5</v>
      </c>
      <c r="M79" s="1">
        <v>5723</v>
      </c>
      <c r="N79" s="1">
        <v>2593</v>
      </c>
    </row>
    <row r="80" spans="1:14" x14ac:dyDescent="0.2">
      <c r="A80" s="1" t="s">
        <v>23</v>
      </c>
      <c r="B80" s="1" t="s">
        <v>78</v>
      </c>
      <c r="C80" s="1" t="s">
        <v>79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7527.03</v>
      </c>
      <c r="J80" s="2">
        <v>0</v>
      </c>
      <c r="K80" s="2">
        <v>18918.59</v>
      </c>
      <c r="L80" s="2">
        <v>558001.56000000006</v>
      </c>
      <c r="M80" s="1">
        <v>4192</v>
      </c>
      <c r="N80" s="1">
        <v>6809</v>
      </c>
    </row>
    <row r="81" spans="1:14" x14ac:dyDescent="0.2">
      <c r="A81" s="1" t="s">
        <v>16</v>
      </c>
      <c r="B81" s="1" t="s">
        <v>80</v>
      </c>
      <c r="C81" s="1" t="s">
        <v>81</v>
      </c>
      <c r="D81" s="2">
        <v>0</v>
      </c>
      <c r="E81" s="2">
        <v>5263.56</v>
      </c>
      <c r="F81" s="2">
        <v>2892.37</v>
      </c>
      <c r="G81" s="2">
        <v>2284.89</v>
      </c>
      <c r="H81" s="2">
        <v>0</v>
      </c>
      <c r="I81" s="2">
        <v>0</v>
      </c>
      <c r="J81" s="2">
        <v>183212.05</v>
      </c>
      <c r="K81" s="2">
        <v>567503.75</v>
      </c>
      <c r="L81" s="2">
        <v>405099.62</v>
      </c>
      <c r="M81" s="1">
        <v>7698</v>
      </c>
      <c r="N81" s="1">
        <v>4496</v>
      </c>
    </row>
    <row r="82" spans="1:14" x14ac:dyDescent="0.2">
      <c r="A82" s="1" t="s">
        <v>19</v>
      </c>
      <c r="B82" s="1" t="s">
        <v>80</v>
      </c>
      <c r="C82" s="1" t="s">
        <v>81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3774.64</v>
      </c>
      <c r="K82" s="2">
        <v>21619.58</v>
      </c>
      <c r="L82" s="2">
        <v>13136.84</v>
      </c>
      <c r="M82" s="1">
        <v>7453</v>
      </c>
      <c r="N82" s="1">
        <v>6159</v>
      </c>
    </row>
    <row r="83" spans="1:14" x14ac:dyDescent="0.2">
      <c r="A83" s="1" t="s">
        <v>16</v>
      </c>
      <c r="B83" s="1" t="s">
        <v>82</v>
      </c>
      <c r="C83" s="1" t="s">
        <v>83</v>
      </c>
      <c r="D83" s="2">
        <v>5238493.5</v>
      </c>
      <c r="E83" s="2">
        <v>5639318</v>
      </c>
      <c r="F83" s="2">
        <v>5503772</v>
      </c>
      <c r="G83" s="2">
        <v>4602818.5</v>
      </c>
      <c r="H83" s="2">
        <v>6083436.5</v>
      </c>
      <c r="I83" s="2">
        <v>6242996</v>
      </c>
      <c r="J83" s="2">
        <v>536851.12</v>
      </c>
      <c r="K83" s="2">
        <v>504240.5</v>
      </c>
      <c r="L83" s="2">
        <v>542186.38</v>
      </c>
      <c r="M83" s="1">
        <v>6549</v>
      </c>
      <c r="N83" s="1">
        <v>5803</v>
      </c>
    </row>
    <row r="84" spans="1:14" x14ac:dyDescent="0.2">
      <c r="A84" s="1" t="s">
        <v>19</v>
      </c>
      <c r="B84" s="1" t="s">
        <v>82</v>
      </c>
      <c r="C84" s="1" t="s">
        <v>83</v>
      </c>
      <c r="D84" s="2">
        <v>382975.41</v>
      </c>
      <c r="E84" s="2">
        <v>381928.38</v>
      </c>
      <c r="F84" s="2">
        <v>392243.25</v>
      </c>
      <c r="G84" s="2">
        <v>320079.81</v>
      </c>
      <c r="H84" s="2">
        <v>390619.25</v>
      </c>
      <c r="I84" s="2">
        <v>405721.09</v>
      </c>
      <c r="J84" s="2">
        <v>32858.050000000003</v>
      </c>
      <c r="K84" s="2">
        <v>26356.46</v>
      </c>
      <c r="L84" s="2">
        <v>40247.86</v>
      </c>
      <c r="M84" s="1">
        <v>4588</v>
      </c>
      <c r="N84" s="1">
        <v>5506</v>
      </c>
    </row>
    <row r="85" spans="1:14" x14ac:dyDescent="0.2">
      <c r="A85" s="1" t="s">
        <v>22</v>
      </c>
      <c r="B85" s="1" t="s">
        <v>82</v>
      </c>
      <c r="C85" s="1" t="s">
        <v>83</v>
      </c>
      <c r="D85" s="2">
        <v>7886.57</v>
      </c>
      <c r="E85" s="2">
        <v>11421.69</v>
      </c>
      <c r="F85" s="2">
        <v>7710.73</v>
      </c>
      <c r="G85" s="2">
        <v>3566.39</v>
      </c>
      <c r="H85" s="2">
        <v>4184.7299999999996</v>
      </c>
      <c r="I85" s="2">
        <v>6537.71</v>
      </c>
      <c r="J85" s="2">
        <v>0</v>
      </c>
      <c r="K85" s="2">
        <v>0</v>
      </c>
      <c r="L85" s="2">
        <v>0</v>
      </c>
      <c r="M85" s="1">
        <v>4767</v>
      </c>
      <c r="N85" s="1">
        <v>1498</v>
      </c>
    </row>
    <row r="86" spans="1:14" x14ac:dyDescent="0.2">
      <c r="A86" s="1" t="s">
        <v>23</v>
      </c>
      <c r="B86" s="1" t="s">
        <v>82</v>
      </c>
      <c r="C86" s="1" t="s">
        <v>83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3408.09</v>
      </c>
      <c r="M86" s="1">
        <v>3811</v>
      </c>
      <c r="N86" s="1">
        <v>6746</v>
      </c>
    </row>
    <row r="87" spans="1:14" x14ac:dyDescent="0.2">
      <c r="A87" s="1" t="s">
        <v>59</v>
      </c>
      <c r="B87" s="1" t="s">
        <v>82</v>
      </c>
      <c r="C87" s="1" t="s">
        <v>83</v>
      </c>
      <c r="D87" s="2">
        <v>10917.97</v>
      </c>
      <c r="E87" s="2">
        <v>6587.38</v>
      </c>
      <c r="F87" s="2">
        <v>24226.69</v>
      </c>
      <c r="G87" s="2">
        <v>14712.28</v>
      </c>
      <c r="H87" s="2">
        <v>16066.71</v>
      </c>
      <c r="I87" s="2">
        <v>32954.44</v>
      </c>
      <c r="J87" s="2">
        <v>12826.69</v>
      </c>
      <c r="K87" s="2">
        <v>19891.27</v>
      </c>
      <c r="L87" s="2">
        <v>13835.76</v>
      </c>
      <c r="M87" s="1">
        <v>2338</v>
      </c>
      <c r="N87" s="1">
        <v>4898</v>
      </c>
    </row>
    <row r="88" spans="1:14" x14ac:dyDescent="0.2">
      <c r="A88" s="1" t="s">
        <v>16</v>
      </c>
      <c r="B88" s="1" t="s">
        <v>84</v>
      </c>
      <c r="C88" s="1" t="s">
        <v>85</v>
      </c>
      <c r="D88" s="2">
        <v>17874050</v>
      </c>
      <c r="E88" s="2">
        <v>18732846</v>
      </c>
      <c r="F88" s="2">
        <v>6598154</v>
      </c>
      <c r="G88" s="2">
        <v>4341290</v>
      </c>
      <c r="H88" s="2">
        <v>308037.25</v>
      </c>
      <c r="I88" s="2">
        <v>25868.54</v>
      </c>
      <c r="J88" s="2">
        <v>50503.12</v>
      </c>
      <c r="K88" s="2">
        <v>161552.48000000001</v>
      </c>
      <c r="L88" s="2">
        <v>20626.62</v>
      </c>
      <c r="M88" s="1">
        <v>3224</v>
      </c>
      <c r="N88" s="1">
        <v>7177</v>
      </c>
    </row>
    <row r="89" spans="1:14" x14ac:dyDescent="0.2">
      <c r="A89" s="1" t="s">
        <v>19</v>
      </c>
      <c r="B89" s="1" t="s">
        <v>84</v>
      </c>
      <c r="C89" s="1" t="s">
        <v>85</v>
      </c>
      <c r="D89" s="2">
        <v>1140206.6200000001</v>
      </c>
      <c r="E89" s="2">
        <v>1135295.3799999999</v>
      </c>
      <c r="F89" s="2">
        <v>381059.41</v>
      </c>
      <c r="G89" s="2">
        <v>259278.05</v>
      </c>
      <c r="H89" s="2">
        <v>16915.79</v>
      </c>
      <c r="I89" s="2">
        <v>0</v>
      </c>
      <c r="J89" s="2">
        <v>3384.77</v>
      </c>
      <c r="K89" s="2">
        <v>7836.99</v>
      </c>
      <c r="L89" s="2">
        <v>0</v>
      </c>
      <c r="M89" s="1">
        <v>7864</v>
      </c>
      <c r="N89" s="1">
        <v>3055</v>
      </c>
    </row>
    <row r="90" spans="1:14" x14ac:dyDescent="0.2">
      <c r="A90" s="1" t="s">
        <v>22</v>
      </c>
      <c r="B90" s="1" t="s">
        <v>84</v>
      </c>
      <c r="C90" s="1" t="s">
        <v>85</v>
      </c>
      <c r="D90" s="2">
        <v>20873.52</v>
      </c>
      <c r="E90" s="2">
        <v>29031.02</v>
      </c>
      <c r="F90" s="2">
        <v>11386.37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1">
        <v>4747</v>
      </c>
      <c r="N90" s="1">
        <v>7006</v>
      </c>
    </row>
    <row r="91" spans="1:14" x14ac:dyDescent="0.2">
      <c r="A91" s="1" t="s">
        <v>16</v>
      </c>
      <c r="B91" s="1" t="s">
        <v>86</v>
      </c>
      <c r="C91" s="1" t="s">
        <v>87</v>
      </c>
      <c r="D91" s="2">
        <v>79821.63</v>
      </c>
      <c r="E91" s="2">
        <v>47853.69</v>
      </c>
      <c r="F91" s="2">
        <v>257192.95</v>
      </c>
      <c r="G91" s="2">
        <v>74190.84</v>
      </c>
      <c r="H91" s="2">
        <v>47371.92</v>
      </c>
      <c r="I91" s="2">
        <v>65298.19</v>
      </c>
      <c r="J91" s="2">
        <v>617641.56000000006</v>
      </c>
      <c r="K91" s="2">
        <v>926406.94</v>
      </c>
      <c r="L91" s="2">
        <v>2056696.62</v>
      </c>
      <c r="M91" s="1">
        <v>2998</v>
      </c>
      <c r="N91" s="1">
        <v>4513</v>
      </c>
    </row>
    <row r="92" spans="1:14" x14ac:dyDescent="0.2">
      <c r="A92" s="1" t="s">
        <v>16</v>
      </c>
      <c r="B92" s="1" t="s">
        <v>88</v>
      </c>
      <c r="C92" s="1" t="s">
        <v>89</v>
      </c>
      <c r="D92" s="2">
        <v>8788452</v>
      </c>
      <c r="E92" s="2">
        <v>3403736</v>
      </c>
      <c r="F92" s="2">
        <v>9729544</v>
      </c>
      <c r="G92" s="2">
        <v>5719093.5</v>
      </c>
      <c r="H92" s="2">
        <v>9858092</v>
      </c>
      <c r="I92" s="2">
        <v>14726095</v>
      </c>
      <c r="J92" s="2">
        <v>433060.72</v>
      </c>
      <c r="K92" s="2">
        <v>526479.93999999994</v>
      </c>
      <c r="L92" s="2">
        <v>6876706</v>
      </c>
      <c r="M92" s="1">
        <v>3554</v>
      </c>
      <c r="N92" s="1">
        <v>7326</v>
      </c>
    </row>
    <row r="93" spans="1:14" x14ac:dyDescent="0.2">
      <c r="A93" s="1" t="s">
        <v>19</v>
      </c>
      <c r="B93" s="1" t="s">
        <v>88</v>
      </c>
      <c r="C93" s="1" t="s">
        <v>89</v>
      </c>
      <c r="D93" s="2">
        <v>420976.25</v>
      </c>
      <c r="E93" s="2">
        <v>193283.38</v>
      </c>
      <c r="F93" s="2">
        <v>549012.56000000006</v>
      </c>
      <c r="G93" s="2">
        <v>351834.59</v>
      </c>
      <c r="H93" s="2">
        <v>541151.56000000006</v>
      </c>
      <c r="I93" s="2">
        <v>802032.19</v>
      </c>
      <c r="J93" s="2">
        <v>17749.939999999999</v>
      </c>
      <c r="K93" s="2">
        <v>40188.18</v>
      </c>
      <c r="L93" s="2">
        <v>417510.16</v>
      </c>
      <c r="M93" s="1">
        <v>3894</v>
      </c>
      <c r="N93" s="1">
        <v>7822</v>
      </c>
    </row>
    <row r="94" spans="1:14" x14ac:dyDescent="0.2">
      <c r="A94" s="1" t="s">
        <v>22</v>
      </c>
      <c r="B94" s="1" t="s">
        <v>88</v>
      </c>
      <c r="C94" s="1" t="s">
        <v>89</v>
      </c>
      <c r="D94" s="2">
        <v>0</v>
      </c>
      <c r="E94" s="2">
        <v>0</v>
      </c>
      <c r="F94" s="2">
        <v>12551.39</v>
      </c>
      <c r="G94" s="2">
        <v>23010.38</v>
      </c>
      <c r="H94" s="2">
        <v>43734.52</v>
      </c>
      <c r="I94" s="2">
        <v>52432.61</v>
      </c>
      <c r="J94" s="2">
        <v>0</v>
      </c>
      <c r="K94" s="2">
        <v>0</v>
      </c>
      <c r="L94" s="2">
        <v>24305.51</v>
      </c>
      <c r="M94" s="1">
        <v>4129</v>
      </c>
      <c r="N94" s="1">
        <v>2670</v>
      </c>
    </row>
    <row r="95" spans="1:14" x14ac:dyDescent="0.2">
      <c r="A95" s="1" t="s">
        <v>48</v>
      </c>
      <c r="B95" s="1" t="s">
        <v>88</v>
      </c>
      <c r="C95" s="1" t="s">
        <v>89</v>
      </c>
      <c r="D95" s="2">
        <v>0</v>
      </c>
      <c r="E95" s="2">
        <v>0</v>
      </c>
      <c r="F95" s="2">
        <v>7768.15</v>
      </c>
      <c r="G95" s="2">
        <v>12392.89</v>
      </c>
      <c r="H95" s="2">
        <v>27348.39</v>
      </c>
      <c r="I95" s="2">
        <v>60785.13</v>
      </c>
      <c r="J95" s="2">
        <v>0</v>
      </c>
      <c r="K95" s="2">
        <v>0</v>
      </c>
      <c r="L95" s="2">
        <v>8033.15</v>
      </c>
      <c r="M95" s="1">
        <v>1784</v>
      </c>
      <c r="N95" s="1">
        <v>2211</v>
      </c>
    </row>
    <row r="96" spans="1:14" x14ac:dyDescent="0.2">
      <c r="A96" s="1" t="s">
        <v>90</v>
      </c>
      <c r="B96" s="1" t="s">
        <v>88</v>
      </c>
      <c r="C96" s="1" t="s">
        <v>89</v>
      </c>
      <c r="D96" s="2">
        <v>0</v>
      </c>
      <c r="E96" s="2">
        <v>51570.27</v>
      </c>
      <c r="F96" s="2">
        <v>314018.34000000003</v>
      </c>
      <c r="G96" s="2">
        <v>287461.15999999997</v>
      </c>
      <c r="H96" s="2">
        <v>761033.25</v>
      </c>
      <c r="I96" s="2">
        <v>936353.5</v>
      </c>
      <c r="J96" s="2">
        <v>0</v>
      </c>
      <c r="K96" s="2">
        <v>34444.639999999999</v>
      </c>
      <c r="L96" s="2">
        <v>149656.51999999999</v>
      </c>
      <c r="M96" s="1">
        <v>7937</v>
      </c>
      <c r="N96" s="1">
        <v>4546</v>
      </c>
    </row>
    <row r="97" spans="1:14" x14ac:dyDescent="0.2">
      <c r="A97" s="1" t="s">
        <v>16</v>
      </c>
      <c r="B97" s="1" t="s">
        <v>91</v>
      </c>
      <c r="C97" s="1" t="s">
        <v>92</v>
      </c>
      <c r="D97" s="2">
        <v>6703513.5</v>
      </c>
      <c r="E97" s="2">
        <v>11712429</v>
      </c>
      <c r="F97" s="2">
        <v>7300962.5</v>
      </c>
      <c r="G97" s="2">
        <v>4012930</v>
      </c>
      <c r="H97" s="2">
        <v>3608002.25</v>
      </c>
      <c r="I97" s="2">
        <v>5362916.5</v>
      </c>
      <c r="J97" s="2">
        <v>3786326</v>
      </c>
      <c r="K97" s="2">
        <v>1144483</v>
      </c>
      <c r="L97" s="2">
        <v>326660.09000000003</v>
      </c>
      <c r="M97" s="1">
        <v>6237</v>
      </c>
      <c r="N97" s="1">
        <v>6827</v>
      </c>
    </row>
    <row r="98" spans="1:14" x14ac:dyDescent="0.2">
      <c r="A98" s="1" t="s">
        <v>19</v>
      </c>
      <c r="B98" s="1" t="s">
        <v>91</v>
      </c>
      <c r="C98" s="1" t="s">
        <v>92</v>
      </c>
      <c r="D98" s="2">
        <v>326181.78000000003</v>
      </c>
      <c r="E98" s="2">
        <v>647418.56000000006</v>
      </c>
      <c r="F98" s="2">
        <v>362298.75</v>
      </c>
      <c r="G98" s="2">
        <v>203679.62</v>
      </c>
      <c r="H98" s="2">
        <v>194412.89</v>
      </c>
      <c r="I98" s="2">
        <v>286033.19</v>
      </c>
      <c r="J98" s="2">
        <v>157986.35999999999</v>
      </c>
      <c r="K98" s="2">
        <v>54375.24</v>
      </c>
      <c r="L98" s="2">
        <v>17622.13</v>
      </c>
      <c r="M98" s="1">
        <v>3600</v>
      </c>
      <c r="N98" s="1">
        <v>7968</v>
      </c>
    </row>
    <row r="99" spans="1:14" x14ac:dyDescent="0.2">
      <c r="A99" s="1" t="s">
        <v>22</v>
      </c>
      <c r="B99" s="1" t="s">
        <v>91</v>
      </c>
      <c r="C99" s="1" t="s">
        <v>92</v>
      </c>
      <c r="D99" s="2">
        <v>1834.66</v>
      </c>
      <c r="E99" s="2">
        <v>11894.61</v>
      </c>
      <c r="F99" s="2">
        <v>22241.01</v>
      </c>
      <c r="G99" s="2">
        <v>23700.68</v>
      </c>
      <c r="H99" s="2">
        <v>31218.15</v>
      </c>
      <c r="I99" s="2">
        <v>48511.27</v>
      </c>
      <c r="J99" s="2">
        <v>0</v>
      </c>
      <c r="K99" s="2">
        <v>2542.9899999999998</v>
      </c>
      <c r="L99" s="2">
        <v>0</v>
      </c>
      <c r="M99" s="1">
        <v>4504</v>
      </c>
      <c r="N99" s="1">
        <v>2812</v>
      </c>
    </row>
    <row r="100" spans="1:14" x14ac:dyDescent="0.2">
      <c r="A100" s="1" t="s">
        <v>23</v>
      </c>
      <c r="B100" s="1" t="s">
        <v>91</v>
      </c>
      <c r="C100" s="1" t="s">
        <v>92</v>
      </c>
      <c r="D100" s="2">
        <v>0</v>
      </c>
      <c r="E100" s="2">
        <v>0</v>
      </c>
      <c r="F100" s="2">
        <v>0</v>
      </c>
      <c r="G100" s="2">
        <v>0</v>
      </c>
      <c r="H100" s="2">
        <v>5638.91</v>
      </c>
      <c r="I100" s="2">
        <v>13786.45</v>
      </c>
      <c r="J100" s="2">
        <v>0</v>
      </c>
      <c r="K100" s="2">
        <v>0</v>
      </c>
      <c r="L100" s="2">
        <v>0</v>
      </c>
      <c r="M100" s="1">
        <v>6676</v>
      </c>
      <c r="N100" s="1">
        <v>1033</v>
      </c>
    </row>
    <row r="101" spans="1:14" x14ac:dyDescent="0.2">
      <c r="A101" s="1" t="s">
        <v>16</v>
      </c>
      <c r="B101" s="1" t="s">
        <v>93</v>
      </c>
      <c r="C101" s="1" t="s">
        <v>94</v>
      </c>
      <c r="D101" s="2">
        <v>24752506</v>
      </c>
      <c r="E101" s="2">
        <v>9632571</v>
      </c>
      <c r="F101" s="2">
        <v>33750120</v>
      </c>
      <c r="G101" s="2">
        <v>16968818</v>
      </c>
      <c r="H101" s="2">
        <v>30476698</v>
      </c>
      <c r="I101" s="2">
        <v>64879484</v>
      </c>
      <c r="J101" s="2">
        <v>51014944</v>
      </c>
      <c r="K101" s="2">
        <v>67648080</v>
      </c>
      <c r="L101" s="2">
        <v>63608972</v>
      </c>
      <c r="M101" s="1">
        <v>7691</v>
      </c>
      <c r="N101" s="1">
        <v>6612</v>
      </c>
    </row>
    <row r="102" spans="1:14" x14ac:dyDescent="0.2">
      <c r="A102" s="1" t="s">
        <v>19</v>
      </c>
      <c r="B102" s="1" t="s">
        <v>93</v>
      </c>
      <c r="C102" s="1" t="s">
        <v>94</v>
      </c>
      <c r="D102" s="2">
        <v>1352545.38</v>
      </c>
      <c r="E102" s="2">
        <v>508352.25</v>
      </c>
      <c r="F102" s="2">
        <v>1919188</v>
      </c>
      <c r="G102" s="2">
        <v>904031.06</v>
      </c>
      <c r="H102" s="2">
        <v>1675697.12</v>
      </c>
      <c r="I102" s="2">
        <v>3796825</v>
      </c>
      <c r="J102" s="2">
        <v>2815844.25</v>
      </c>
      <c r="K102" s="2">
        <v>3962979.25</v>
      </c>
      <c r="L102" s="2">
        <v>3899831.25</v>
      </c>
      <c r="M102" s="1">
        <v>2725</v>
      </c>
      <c r="N102" s="1">
        <v>1840</v>
      </c>
    </row>
    <row r="103" spans="1:14" x14ac:dyDescent="0.2">
      <c r="A103" s="1" t="s">
        <v>22</v>
      </c>
      <c r="B103" s="1" t="s">
        <v>93</v>
      </c>
      <c r="C103" s="1" t="s">
        <v>94</v>
      </c>
      <c r="D103" s="2">
        <v>0</v>
      </c>
      <c r="E103" s="2">
        <v>0</v>
      </c>
      <c r="F103" s="2">
        <v>26058.12</v>
      </c>
      <c r="G103" s="2">
        <v>48925.89</v>
      </c>
      <c r="H103" s="2">
        <v>161297.92000000001</v>
      </c>
      <c r="I103" s="2">
        <v>357191.47</v>
      </c>
      <c r="J103" s="2">
        <v>33626.82</v>
      </c>
      <c r="K103" s="2">
        <v>102159</v>
      </c>
      <c r="L103" s="2">
        <v>520087.75</v>
      </c>
      <c r="M103" s="1">
        <v>1443</v>
      </c>
      <c r="N103" s="1">
        <v>7117</v>
      </c>
    </row>
    <row r="104" spans="1:14" x14ac:dyDescent="0.2">
      <c r="A104" s="1" t="s">
        <v>23</v>
      </c>
      <c r="B104" s="1" t="s">
        <v>93</v>
      </c>
      <c r="C104" s="1" t="s">
        <v>94</v>
      </c>
      <c r="D104" s="2">
        <v>0</v>
      </c>
      <c r="E104" s="2">
        <v>0</v>
      </c>
      <c r="F104" s="2">
        <v>0</v>
      </c>
      <c r="G104" s="2">
        <v>0</v>
      </c>
      <c r="H104" s="2">
        <v>7942.01</v>
      </c>
      <c r="I104" s="2">
        <v>20491.89</v>
      </c>
      <c r="J104" s="2">
        <v>0</v>
      </c>
      <c r="K104" s="2">
        <v>5783.14</v>
      </c>
      <c r="L104" s="2">
        <v>78257.37</v>
      </c>
      <c r="M104" s="1">
        <v>7289</v>
      </c>
      <c r="N104" s="1">
        <v>1301</v>
      </c>
    </row>
    <row r="105" spans="1:14" x14ac:dyDescent="0.2">
      <c r="A105" s="1" t="s">
        <v>16</v>
      </c>
      <c r="B105" s="1" t="s">
        <v>95</v>
      </c>
      <c r="C105" s="1" t="s">
        <v>96</v>
      </c>
      <c r="D105" s="2">
        <v>2082963</v>
      </c>
      <c r="E105" s="2">
        <v>671553.19</v>
      </c>
      <c r="F105" s="2">
        <v>2635300</v>
      </c>
      <c r="G105" s="2">
        <v>1439520.62</v>
      </c>
      <c r="H105" s="2">
        <v>2462481.25</v>
      </c>
      <c r="I105" s="2">
        <v>3841010.75</v>
      </c>
      <c r="J105" s="2">
        <v>660867.18999999994</v>
      </c>
      <c r="K105" s="2">
        <v>1023563.75</v>
      </c>
      <c r="L105" s="2">
        <v>918308.56</v>
      </c>
      <c r="M105" s="1">
        <v>4201</v>
      </c>
      <c r="N105" s="1">
        <v>7997</v>
      </c>
    </row>
    <row r="106" spans="1:14" x14ac:dyDescent="0.2">
      <c r="A106" s="1" t="s">
        <v>19</v>
      </c>
      <c r="B106" s="1" t="s">
        <v>95</v>
      </c>
      <c r="C106" s="1" t="s">
        <v>96</v>
      </c>
      <c r="D106" s="2">
        <v>112047.26</v>
      </c>
      <c r="E106" s="2">
        <v>34402.769999999997</v>
      </c>
      <c r="F106" s="2">
        <v>146411.98000000001</v>
      </c>
      <c r="G106" s="2">
        <v>80895.27</v>
      </c>
      <c r="H106" s="2">
        <v>145717.82999999999</v>
      </c>
      <c r="I106" s="2">
        <v>205404.17</v>
      </c>
      <c r="J106" s="2">
        <v>35075.160000000003</v>
      </c>
      <c r="K106" s="2">
        <v>53605.85</v>
      </c>
      <c r="L106" s="2">
        <v>46460.71</v>
      </c>
      <c r="M106" s="1">
        <v>5740</v>
      </c>
      <c r="N106" s="1">
        <v>5581</v>
      </c>
    </row>
    <row r="107" spans="1:14" x14ac:dyDescent="0.2">
      <c r="A107" s="1" t="s">
        <v>22</v>
      </c>
      <c r="B107" s="1" t="s">
        <v>95</v>
      </c>
      <c r="C107" s="1" t="s">
        <v>96</v>
      </c>
      <c r="D107" s="2">
        <v>0</v>
      </c>
      <c r="E107" s="2">
        <v>0</v>
      </c>
      <c r="F107" s="2">
        <v>2492.1999999999998</v>
      </c>
      <c r="G107" s="2">
        <v>0</v>
      </c>
      <c r="H107" s="2">
        <v>1457.78</v>
      </c>
      <c r="I107" s="2">
        <v>4241</v>
      </c>
      <c r="J107" s="2">
        <v>0</v>
      </c>
      <c r="K107" s="2">
        <v>0</v>
      </c>
      <c r="L107" s="2">
        <v>0</v>
      </c>
      <c r="M107" s="1">
        <v>4800</v>
      </c>
      <c r="N107" s="1">
        <v>2264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redundant columns removed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2021-07-02T16:40:28Z</dcterms:created>
  <dcterms:modified xsi:type="dcterms:W3CDTF">2021-09-29T00:54:04Z</dcterms:modified>
</cp:coreProperties>
</file>